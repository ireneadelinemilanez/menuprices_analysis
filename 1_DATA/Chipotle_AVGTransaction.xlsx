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renemilanez/dataProjects/menuprices_analysis/"/>
    </mc:Choice>
  </mc:AlternateContent>
  <xr:revisionPtr revIDLastSave="0" documentId="13_ncr:1_{C4A41BA6-0648-F54A-B131-2B3C6848E6E1}" xr6:coauthVersionLast="47" xr6:coauthVersionMax="47" xr10:uidLastSave="{00000000-0000-0000-0000-000000000000}"/>
  <bookViews>
    <workbookView xWindow="600" yWindow="500" windowWidth="27520" windowHeight="14960" activeTab="3" xr2:uid="{00000000-000D-0000-FFFF-FFFF00000000}"/>
  </bookViews>
  <sheets>
    <sheet name="Trend Analysis" sheetId="2" r:id="rId1"/>
    <sheet name="Sheet1" sheetId="3" r:id="rId2"/>
    <sheet name="Sheet2" sheetId="4" r:id="rId3"/>
    <sheet name="Sheet3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2" i="3"/>
  <c r="G3" i="3"/>
  <c r="G4" i="3"/>
  <c r="G5" i="3"/>
  <c r="G6" i="3"/>
  <c r="G7" i="3"/>
  <c r="G8" i="3"/>
  <c r="G9" i="3"/>
  <c r="G10" i="3"/>
  <c r="G2" i="3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E9" i="2" a="1"/>
  <c r="E12" i="2" a="1"/>
  <c r="E74" i="2" a="1"/>
  <c r="E42" i="2" a="1"/>
  <c r="E66" i="2" a="1"/>
  <c r="E53" i="2" a="1"/>
  <c r="E43" i="2" a="1"/>
  <c r="E48" i="2" a="1"/>
  <c r="E25" i="2" a="1"/>
  <c r="E44" i="2" a="1"/>
  <c r="E19" i="2" a="1"/>
  <c r="E40" i="2" a="1"/>
  <c r="E7" i="2" a="1"/>
  <c r="E41" i="2" a="1"/>
  <c r="E37" i="2" a="1"/>
  <c r="E95" i="2" a="1"/>
  <c r="E29" i="2" a="1"/>
  <c r="E18" i="2" a="1"/>
  <c r="E105" i="2" a="1"/>
  <c r="E10" i="2" a="1"/>
  <c r="E30" i="2" a="1"/>
  <c r="E86" i="2" a="1"/>
  <c r="E34" i="2" a="1"/>
  <c r="E11" i="2" a="1"/>
  <c r="E17" i="2" a="1"/>
  <c r="E49" i="2" a="1"/>
  <c r="E13" i="2" a="1"/>
  <c r="E67" i="2" a="1"/>
  <c r="E71" i="2" a="1"/>
  <c r="E36" i="2" a="1"/>
  <c r="E22" i="2" a="1"/>
  <c r="E103" i="2" a="1"/>
  <c r="E77" i="2" a="1"/>
  <c r="E97" i="2" a="1"/>
  <c r="E54" i="2" a="1"/>
  <c r="E27" i="2" a="1"/>
  <c r="E65" i="2" a="1"/>
  <c r="E20" i="2" a="1"/>
  <c r="E52" i="2" a="1"/>
  <c r="E23" i="2" a="1"/>
  <c r="E70" i="2" a="1"/>
  <c r="E45" i="2" a="1"/>
  <c r="E24" i="2" a="1"/>
  <c r="E58" i="2" a="1"/>
  <c r="E64" i="2" a="1"/>
  <c r="E104" i="2" a="1"/>
  <c r="E21" i="2" a="1"/>
  <c r="E50" i="2" a="1"/>
  <c r="E39" i="2" a="1"/>
  <c r="E98" i="2" a="1"/>
  <c r="E78" i="2" a="1"/>
  <c r="E55" i="2" a="1"/>
  <c r="E56" i="2" a="1"/>
  <c r="E47" i="2" a="1"/>
  <c r="E35" i="2" a="1"/>
  <c r="E63" i="2" a="1"/>
  <c r="E91" i="2" a="1"/>
  <c r="E89" i="2" a="1"/>
  <c r="E83" i="2" a="1"/>
  <c r="E33" i="2" a="1"/>
  <c r="E61" i="2" a="1"/>
  <c r="E85" i="2" a="1"/>
  <c r="E92" i="2" a="1"/>
  <c r="E82" i="2" a="1"/>
  <c r="E93" i="2" a="1"/>
  <c r="E8" i="2" a="1"/>
  <c r="E72" i="2" a="1"/>
  <c r="E26" i="2" a="1"/>
  <c r="E59" i="2" a="1"/>
  <c r="E16" i="2" a="1"/>
  <c r="E81" i="2" a="1"/>
  <c r="E80" i="2" a="1"/>
  <c r="E57" i="2" a="1"/>
  <c r="E68" i="2" a="1"/>
  <c r="E76" i="2" a="1"/>
  <c r="E102" i="2" a="1"/>
  <c r="E14" i="2" a="1"/>
  <c r="E84" i="2" a="1"/>
  <c r="E38" i="2" a="1"/>
  <c r="E90" i="2" a="1"/>
  <c r="E28" i="2" a="1"/>
  <c r="E99" i="2" a="1"/>
  <c r="E62" i="2" a="1"/>
  <c r="E75" i="2" a="1"/>
  <c r="E100" i="2" a="1"/>
  <c r="E87" i="2" a="1"/>
  <c r="E15" i="2" a="1"/>
  <c r="E101" i="2" a="1"/>
  <c r="E69" i="2" a="1"/>
  <c r="E60" i="2" a="1"/>
  <c r="E51" i="2" a="1"/>
  <c r="E32" i="2" a="1"/>
  <c r="E79" i="2" a="1"/>
  <c r="E31" i="2" a="1"/>
  <c r="E88" i="2" a="1"/>
  <c r="E73" i="2" a="1"/>
  <c r="E46" i="2" a="1"/>
  <c r="E94" i="2" a="1"/>
  <c r="E96" i="2" a="1"/>
  <c r="E105" i="2" l="1"/>
  <c r="E18" i="2"/>
  <c r="E29" i="2"/>
  <c r="E95" i="2"/>
  <c r="E37" i="2"/>
  <c r="E41" i="2"/>
  <c r="E7" i="2"/>
  <c r="E40" i="2"/>
  <c r="E19" i="2"/>
  <c r="E44" i="2"/>
  <c r="E25" i="2"/>
  <c r="E48" i="2"/>
  <c r="E43" i="2"/>
  <c r="E53" i="2"/>
  <c r="E66" i="2"/>
  <c r="E42" i="2"/>
  <c r="E74" i="2"/>
  <c r="E12" i="2"/>
  <c r="E9" i="2"/>
  <c r="E96" i="2"/>
  <c r="E94" i="2"/>
  <c r="E46" i="2"/>
  <c r="E73" i="2"/>
  <c r="E88" i="2"/>
  <c r="E31" i="2"/>
  <c r="E79" i="2"/>
  <c r="E32" i="2"/>
  <c r="E51" i="2"/>
  <c r="E60" i="2"/>
  <c r="E69" i="2"/>
  <c r="E101" i="2"/>
  <c r="E15" i="2"/>
  <c r="E87" i="2"/>
  <c r="E100" i="2"/>
  <c r="E75" i="2"/>
  <c r="E62" i="2"/>
  <c r="E99" i="2"/>
  <c r="E28" i="2"/>
  <c r="E90" i="2"/>
  <c r="E38" i="2"/>
  <c r="E84" i="2"/>
  <c r="E14" i="2"/>
  <c r="E102" i="2"/>
  <c r="E76" i="2"/>
  <c r="E68" i="2"/>
  <c r="E57" i="2"/>
  <c r="E80" i="2"/>
  <c r="E81" i="2"/>
  <c r="E16" i="2"/>
  <c r="E59" i="2"/>
  <c r="E26" i="2"/>
  <c r="E72" i="2"/>
  <c r="E8" i="2"/>
  <c r="E93" i="2"/>
  <c r="E82" i="2"/>
  <c r="E92" i="2"/>
  <c r="E85" i="2"/>
  <c r="E61" i="2"/>
  <c r="E33" i="2"/>
  <c r="E83" i="2"/>
  <c r="E89" i="2"/>
  <c r="E91" i="2"/>
  <c r="E63" i="2"/>
  <c r="E35" i="2"/>
  <c r="E47" i="2"/>
  <c r="E56" i="2"/>
  <c r="E55" i="2"/>
  <c r="E78" i="2"/>
  <c r="E98" i="2"/>
  <c r="E39" i="2"/>
  <c r="E50" i="2"/>
  <c r="E21" i="2"/>
  <c r="E104" i="2"/>
  <c r="E64" i="2"/>
  <c r="E58" i="2"/>
  <c r="E24" i="2"/>
  <c r="E45" i="2"/>
  <c r="E70" i="2"/>
  <c r="E23" i="2"/>
  <c r="E52" i="2"/>
  <c r="E20" i="2"/>
  <c r="E65" i="2"/>
  <c r="E27" i="2"/>
  <c r="E54" i="2"/>
  <c r="E97" i="2"/>
  <c r="E77" i="2"/>
  <c r="E103" i="2"/>
  <c r="E22" i="2"/>
  <c r="E36" i="2"/>
  <c r="E71" i="2"/>
  <c r="E67" i="2"/>
  <c r="E13" i="2"/>
  <c r="E49" i="2"/>
  <c r="E17" i="2"/>
  <c r="E11" i="2"/>
  <c r="E34" i="2"/>
  <c r="E86" i="2"/>
  <c r="E30" i="2"/>
  <c r="E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<sst xmlns="http://schemas.openxmlformats.org/spreadsheetml/2006/main" count="20" uniqueCount="13">
  <si>
    <t>For BQL help, download the BQL for Alternative Data help guide on DOCS 2144945 &lt;GO&gt; or visit BQLX &lt;GO&gt;.</t>
  </si>
  <si>
    <t>ALTD &lt;GO&gt; Trend Analysis View</t>
  </si>
  <si>
    <t>CMG US Equity</t>
  </si>
  <si>
    <t>Average Transaction Value</t>
  </si>
  <si>
    <t>Month Ending</t>
  </si>
  <si>
    <t>Median - Limited Service Restaurants</t>
  </si>
  <si>
    <t>Source: Bloomberg, ALTD &lt;GO&gt;</t>
  </si>
  <si>
    <t>Year</t>
  </si>
  <si>
    <t>Chipotle_AVGTransaction</t>
  </si>
  <si>
    <t>date</t>
  </si>
  <si>
    <t>cpi_away_food</t>
  </si>
  <si>
    <t>med_inc_pers</t>
  </si>
  <si>
    <t>med_inc_house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</si>
</sst>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i/>
      <sz val="10"/>
      <color indexed="63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1" fillId="33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  <xf numFmtId="14" fontId="3" fillId="0" borderId="0" applyFont="0" applyFill="0" applyBorder="0" applyAlignment="0" applyProtection="0"/>
  </cellStyleXfs>
  <cellXfs count="9">
    <xf numFmtId="0" fontId="0" fillId="0" borderId="0" xfId="0"/>
    <xf numFmtId="0" fontId="1" fillId="33" borderId="0" xfId="26"/>
    <xf numFmtId="0" fontId="2" fillId="0" borderId="0" xfId="30"/>
    <xf numFmtId="14" fontId="3" fillId="0" borderId="0" xfId="44"/>
    <xf numFmtId="0" fontId="1" fillId="33" borderId="0" xfId="26"/>
    <xf numFmtId="0" fontId="0" fillId="0" borderId="0" xfId="0"/>
    <xf numFmtId="0" fontId="20" fillId="0" borderId="0" xfId="26" applyFont="1" applyFill="1"/>
    <xf numFmtId="14" fontId="0" fillId="0" borderId="0" xfId="0" applyNumberFormat="1"/>
    <xf numFmtId="0" fontId="0" fillId="0" borderId="0" xfId="0" applyNumberForma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date_short" xfId="44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grey_text_italics" xfId="30" xr:uid="{00000000-0005-0000-0000-00001E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opLeftCell="A2" workbookViewId="0">
      <selection activeCell="H17" sqref="H17"/>
    </sheetView>
  </sheetViews>
  <sheetFormatPr baseColWidth="10" defaultColWidth="8.83203125" defaultRowHeight="15" x14ac:dyDescent="0.2"/>
  <cols>
    <col min="1" max="3" width="0.1640625" customWidth="1"/>
    <col min="4" max="4" width="19" customWidth="1"/>
    <col min="5" max="6" width="14.33203125" customWidth="1"/>
  </cols>
  <sheetData>
    <row r="1" spans="1:6" x14ac:dyDescent="0.2">
      <c r="D1" t="s">
        <v>0</v>
      </c>
    </row>
    <row r="3" spans="1:6" x14ac:dyDescent="0.2">
      <c r="A3" s="1"/>
      <c r="B3" s="1"/>
      <c r="C3" s="1"/>
      <c r="D3" s="4" t="s">
        <v>1</v>
      </c>
      <c r="E3" s="5"/>
      <c r="F3" s="5"/>
    </row>
    <row r="4" spans="1:6" x14ac:dyDescent="0.2">
      <c r="A4" s="1"/>
      <c r="B4" s="1"/>
      <c r="C4" s="1"/>
      <c r="D4" s="4" t="s">
        <v>2</v>
      </c>
      <c r="E4" s="5"/>
      <c r="F4" s="5"/>
    </row>
    <row r="5" spans="1:6" x14ac:dyDescent="0.2">
      <c r="A5" s="1"/>
      <c r="B5" s="1"/>
      <c r="C5" s="1"/>
      <c r="D5" s="1"/>
      <c r="E5" s="4" t="s">
        <v>3</v>
      </c>
      <c r="F5" s="5"/>
    </row>
    <row r="6" spans="1:6" x14ac:dyDescent="0.2">
      <c r="A6" s="1"/>
      <c r="B6" s="1"/>
      <c r="C6" s="1"/>
      <c r="D6" s="1" t="s">
        <v>4</v>
      </c>
      <c r="E6" s="1" t="s">
        <v>2</v>
      </c>
      <c r="F6" s="1" t="s">
        <v>5</v>
      </c>
    </row>
    <row r="7" spans="1:6" x14ac:dyDescent="0.2">
      <c r="D7" s="3">
        <v>43131</v>
      </c>
      <c r="E7" t="e" cm="1">
        <f t="array" aca="1" ref="E7" ca="1">_xll.BQL(E6, "AVERAGE_TRANSACTION_VALUE", "DATES="&amp;_xlfn.SINGLE(_xll.BQL.DATE(D7)), "PER=m")</f>
        <v>#NAME?</v>
      </c>
      <c r="F7">
        <f>13.4422998428344</f>
        <v>13.4422998428344</v>
      </c>
    </row>
    <row r="8" spans="1:6" x14ac:dyDescent="0.2">
      <c r="D8" s="3">
        <v>43159</v>
      </c>
      <c r="E8" t="e" cm="1">
        <f t="array" aca="1" ref="E8" ca="1">_xll.BQL(E6, "AVERAGE_TRANSACTION_VALUE", "DATES="&amp;_xlfn.SINGLE(_xll.BQL.DATE(D8)), "PER=m")</f>
        <v>#NAME?</v>
      </c>
      <c r="F8">
        <f>13.4137001037597</f>
        <v>13.4137001037597</v>
      </c>
    </row>
    <row r="9" spans="1:6" x14ac:dyDescent="0.2">
      <c r="D9" s="3">
        <v>43190</v>
      </c>
      <c r="E9" t="e" cm="1">
        <f t="array" aca="1" ref="E9" ca="1">_xll.BQL(E6, "AVERAGE_TRANSACTION_VALUE", "DATES="&amp;_xlfn.SINGLE(_xll.BQL.DATE(D9)), "PER=m")</f>
        <v>#NAME?</v>
      </c>
      <c r="F9">
        <f>13.6178998947143</f>
        <v>13.6178998947143</v>
      </c>
    </row>
    <row r="10" spans="1:6" x14ac:dyDescent="0.2">
      <c r="D10" s="3">
        <v>43220</v>
      </c>
      <c r="E10" t="e" cm="1">
        <f t="array" aca="1" ref="E10" ca="1">_xll.BQL(E6, "AVERAGE_TRANSACTION_VALUE", "DATES="&amp;_xlfn.SINGLE(_xll.BQL.DATE(D10)), "PER=m")</f>
        <v>#NAME?</v>
      </c>
      <c r="F10">
        <f>13.579400062561</f>
        <v>13.579400062561</v>
      </c>
    </row>
    <row r="11" spans="1:6" x14ac:dyDescent="0.2">
      <c r="D11" s="3">
        <v>43251</v>
      </c>
      <c r="E11" t="e" cm="1">
        <f t="array" aca="1" ref="E11" ca="1">_xll.BQL(E6, "AVERAGE_TRANSACTION_VALUE", "DATES="&amp;_xlfn.SINGLE(_xll.BQL.DATE(D11)), "PER=m")</f>
        <v>#NAME?</v>
      </c>
      <c r="F11">
        <f>13.9502000808715</f>
        <v>13.9502000808715</v>
      </c>
    </row>
    <row r="12" spans="1:6" x14ac:dyDescent="0.2">
      <c r="D12" s="3">
        <v>43281</v>
      </c>
      <c r="E12" t="e" cm="1">
        <f t="array" aca="1" ref="E12" ca="1">_xll.BQL(E6, "AVERAGE_TRANSACTION_VALUE", "DATES="&amp;_xlfn.SINGLE(_xll.BQL.DATE(D12)), "PER=m")</f>
        <v>#NAME?</v>
      </c>
      <c r="F12">
        <f>14.1205997467041</f>
        <v>14.1205997467041</v>
      </c>
    </row>
    <row r="13" spans="1:6" x14ac:dyDescent="0.2">
      <c r="D13" s="3">
        <v>43312</v>
      </c>
      <c r="E13" t="e" cm="1">
        <f t="array" aca="1" ref="E13" ca="1">_xll.BQL(E6, "AVERAGE_TRANSACTION_VALUE", "DATES="&amp;_xlfn.SINGLE(_xll.BQL.DATE(D13)), "PER=m")</f>
        <v>#NAME?</v>
      </c>
      <c r="F13">
        <f>14.2025003433227</f>
        <v>14.202500343322701</v>
      </c>
    </row>
    <row r="14" spans="1:6" x14ac:dyDescent="0.2">
      <c r="D14" s="3">
        <v>43343</v>
      </c>
      <c r="E14" t="e" cm="1">
        <f t="array" aca="1" ref="E14" ca="1">_xll.BQL(E6, "AVERAGE_TRANSACTION_VALUE", "DATES="&amp;_xlfn.SINGLE(_xll.BQL.DATE(D14)), "PER=m")</f>
        <v>#NAME?</v>
      </c>
      <c r="F14">
        <f>13.9245996475219</f>
        <v>13.9245996475219</v>
      </c>
    </row>
    <row r="15" spans="1:6" x14ac:dyDescent="0.2">
      <c r="D15" s="3">
        <v>43373</v>
      </c>
      <c r="E15" t="e" cm="1">
        <f t="array" aca="1" ref="E15" ca="1">_xll.BQL(E6, "AVERAGE_TRANSACTION_VALUE", "DATES="&amp;_xlfn.SINGLE(_xll.BQL.DATE(D15)), "PER=m")</f>
        <v>#NAME?</v>
      </c>
      <c r="F15">
        <f>13.8332996368408</f>
        <v>13.833299636840801</v>
      </c>
    </row>
    <row r="16" spans="1:6" x14ac:dyDescent="0.2">
      <c r="D16" s="3">
        <v>43404</v>
      </c>
      <c r="E16" t="e" cm="1">
        <f t="array" aca="1" ref="E16" ca="1">_xll.BQL(E6, "AVERAGE_TRANSACTION_VALUE", "DATES="&amp;_xlfn.SINGLE(_xll.BQL.DATE(D16)), "PER=m")</f>
        <v>#NAME?</v>
      </c>
      <c r="F16">
        <f>13.6189002990722</f>
        <v>13.6189002990722</v>
      </c>
    </row>
    <row r="17" spans="4:6" x14ac:dyDescent="0.2">
      <c r="D17" s="3">
        <v>43434</v>
      </c>
      <c r="E17" t="e" cm="1">
        <f t="array" aca="1" ref="E17" ca="1">_xll.BQL(E6, "AVERAGE_TRANSACTION_VALUE", "DATES="&amp;_xlfn.SINGLE(_xll.BQL.DATE(D17)), "PER=m")</f>
        <v>#NAME?</v>
      </c>
      <c r="F17">
        <f>13.7409000396728</f>
        <v>13.7409000396728</v>
      </c>
    </row>
    <row r="18" spans="4:6" x14ac:dyDescent="0.2">
      <c r="D18" s="3">
        <v>43465</v>
      </c>
      <c r="E18" t="e" cm="1">
        <f t="array" aca="1" ref="E18" ca="1">_xll.BQL(E6, "AVERAGE_TRANSACTION_VALUE", "DATES="&amp;_xlfn.SINGLE(_xll.BQL.DATE(D18)), "PER=m")</f>
        <v>#NAME?</v>
      </c>
      <c r="F18">
        <f>14.4003000259399</f>
        <v>14.400300025939901</v>
      </c>
    </row>
    <row r="19" spans="4:6" x14ac:dyDescent="0.2">
      <c r="D19" s="3">
        <v>43496</v>
      </c>
      <c r="E19" t="e" cm="1">
        <f t="array" aca="1" ref="E19" ca="1">_xll.BQL(E6, "AVERAGE_TRANSACTION_VALUE", "DATES="&amp;_xlfn.SINGLE(_xll.BQL.DATE(D19)), "PER=m")</f>
        <v>#NAME?</v>
      </c>
      <c r="F19">
        <f>13.7918996810913</f>
        <v>13.7918996810913</v>
      </c>
    </row>
    <row r="20" spans="4:6" x14ac:dyDescent="0.2">
      <c r="D20" s="3">
        <v>43524</v>
      </c>
      <c r="E20" t="e" cm="1">
        <f t="array" aca="1" ref="E20" ca="1">_xll.BQL(E6, "AVERAGE_TRANSACTION_VALUE", "DATES="&amp;_xlfn.SINGLE(_xll.BQL.DATE(D20)), "PER=m")</f>
        <v>#NAME?</v>
      </c>
      <c r="F20">
        <f>13.9292001724243</f>
        <v>13.9292001724243</v>
      </c>
    </row>
    <row r="21" spans="4:6" x14ac:dyDescent="0.2">
      <c r="D21" s="3">
        <v>43555</v>
      </c>
      <c r="E21" t="e" cm="1">
        <f t="array" aca="1" ref="E21" ca="1">_xll.BQL(E6, "AVERAGE_TRANSACTION_VALUE", "DATES="&amp;_xlfn.SINGLE(_xll.BQL.DATE(D21)), "PER=m")</f>
        <v>#NAME?</v>
      </c>
      <c r="F21">
        <f>14.3320999145507</f>
        <v>14.3320999145507</v>
      </c>
    </row>
    <row r="22" spans="4:6" x14ac:dyDescent="0.2">
      <c r="D22" s="3">
        <v>43585</v>
      </c>
      <c r="E22" t="e" cm="1">
        <f t="array" aca="1" ref="E22" ca="1">_xll.BQL(E6, "AVERAGE_TRANSACTION_VALUE", "DATES="&amp;_xlfn.SINGLE(_xll.BQL.DATE(D22)), "PER=m")</f>
        <v>#NAME?</v>
      </c>
      <c r="F22">
        <f>14.0312004089355</f>
        <v>14.031200408935501</v>
      </c>
    </row>
    <row r="23" spans="4:6" x14ac:dyDescent="0.2">
      <c r="D23" s="3">
        <v>43616</v>
      </c>
      <c r="E23" t="e" cm="1">
        <f t="array" aca="1" ref="E23" ca="1">_xll.BQL(E6, "AVERAGE_TRANSACTION_VALUE", "DATES="&amp;_xlfn.SINGLE(_xll.BQL.DATE(D23)), "PER=m")</f>
        <v>#NAME?</v>
      </c>
      <c r="F23">
        <f>14.1545000076293</f>
        <v>14.1545000076293</v>
      </c>
    </row>
    <row r="24" spans="4:6" x14ac:dyDescent="0.2">
      <c r="D24" s="3">
        <v>43646</v>
      </c>
      <c r="E24" t="e" cm="1">
        <f t="array" aca="1" ref="E24" ca="1">_xll.BQL(E6, "AVERAGE_TRANSACTION_VALUE", "DATES="&amp;_xlfn.SINGLE(_xll.BQL.DATE(D24)), "PER=m")</f>
        <v>#NAME?</v>
      </c>
      <c r="F24">
        <f>14.3922996520996</f>
        <v>14.3922996520996</v>
      </c>
    </row>
    <row r="25" spans="4:6" x14ac:dyDescent="0.2">
      <c r="D25" s="3">
        <v>43677</v>
      </c>
      <c r="E25" t="e" cm="1">
        <f t="array" aca="1" ref="E25" ca="1">_xll.BQL(E6, "AVERAGE_TRANSACTION_VALUE", "DATES="&amp;_xlfn.SINGLE(_xll.BQL.DATE(D25)), "PER=m")</f>
        <v>#NAME?</v>
      </c>
      <c r="F25">
        <f>14.3762998580932</f>
        <v>14.3762998580932</v>
      </c>
    </row>
    <row r="26" spans="4:6" x14ac:dyDescent="0.2">
      <c r="D26" s="3">
        <v>43708</v>
      </c>
      <c r="E26" t="e" cm="1">
        <f t="array" aca="1" ref="E26" ca="1">_xll.BQL(E6, "AVERAGE_TRANSACTION_VALUE", "DATES="&amp;_xlfn.SINGLE(_xll.BQL.DATE(D26)), "PER=m")</f>
        <v>#NAME?</v>
      </c>
      <c r="F26">
        <f>14.0785999298095</f>
        <v>14.078599929809499</v>
      </c>
    </row>
    <row r="27" spans="4:6" x14ac:dyDescent="0.2">
      <c r="D27" s="3">
        <v>43738</v>
      </c>
      <c r="E27" t="e" cm="1">
        <f t="array" aca="1" ref="E27" ca="1">_xll.BQL(E6, "AVERAGE_TRANSACTION_VALUE", "DATES="&amp;_xlfn.SINGLE(_xll.BQL.DATE(D27)), "PER=m")</f>
        <v>#NAME?</v>
      </c>
      <c r="F27">
        <f>13.9451999664306</f>
        <v>13.9451999664306</v>
      </c>
    </row>
    <row r="28" spans="4:6" x14ac:dyDescent="0.2">
      <c r="D28" s="3">
        <v>43769</v>
      </c>
      <c r="E28" t="e" cm="1">
        <f t="array" aca="1" ref="E28" ca="1">_xll.BQL(E6, "AVERAGE_TRANSACTION_VALUE", "DATES="&amp;_xlfn.SINGLE(_xll.BQL.DATE(D28)), "PER=m")</f>
        <v>#NAME?</v>
      </c>
      <c r="F28">
        <f>13.9013004302978</f>
        <v>13.9013004302978</v>
      </c>
    </row>
    <row r="29" spans="4:6" x14ac:dyDescent="0.2">
      <c r="D29" s="3">
        <v>43799</v>
      </c>
      <c r="E29" t="e" cm="1">
        <f t="array" aca="1" ref="E29" ca="1">_xll.BQL(E6, "AVERAGE_TRANSACTION_VALUE", "DATES="&amp;_xlfn.SINGLE(_xll.BQL.DATE(D29)), "PER=m")</f>
        <v>#NAME?</v>
      </c>
      <c r="F29">
        <f>14.221899986267</f>
        <v>14.221899986266999</v>
      </c>
    </row>
    <row r="30" spans="4:6" x14ac:dyDescent="0.2">
      <c r="D30" s="3">
        <v>43830</v>
      </c>
      <c r="E30" t="e" cm="1">
        <f t="array" aca="1" ref="E30" ca="1">_xll.BQL(E6, "AVERAGE_TRANSACTION_VALUE", "DATES="&amp;_xlfn.SINGLE(_xll.BQL.DATE(D30)), "PER=m")</f>
        <v>#NAME?</v>
      </c>
      <c r="F30">
        <f>14.644700050354</f>
        <v>14.644700050354</v>
      </c>
    </row>
    <row r="31" spans="4:6" x14ac:dyDescent="0.2">
      <c r="D31" s="3">
        <v>43861</v>
      </c>
      <c r="E31" t="e" cm="1">
        <f t="array" aca="1" ref="E31" ca="1">_xll.BQL(E6, "AVERAGE_TRANSACTION_VALUE", "DATES="&amp;_xlfn.SINGLE(_xll.BQL.DATE(D31)), "PER=m")</f>
        <v>#NAME?</v>
      </c>
      <c r="F31">
        <f>14.3025999069213</f>
        <v>14.3025999069213</v>
      </c>
    </row>
    <row r="32" spans="4:6" x14ac:dyDescent="0.2">
      <c r="D32" s="3">
        <v>43890</v>
      </c>
      <c r="E32" t="e" cm="1">
        <f t="array" aca="1" ref="E32" ca="1">_xll.BQL(E6, "AVERAGE_TRANSACTION_VALUE", "DATES="&amp;_xlfn.SINGLE(_xll.BQL.DATE(D32)), "PER=m")</f>
        <v>#NAME?</v>
      </c>
      <c r="F32">
        <f>14.3782997131347</f>
        <v>14.3782997131347</v>
      </c>
    </row>
    <row r="33" spans="4:6" x14ac:dyDescent="0.2">
      <c r="D33" s="3">
        <v>43921</v>
      </c>
      <c r="E33" t="e" cm="1">
        <f t="array" aca="1" ref="E33" ca="1">_xll.BQL(E6, "AVERAGE_TRANSACTION_VALUE", "DATES="&amp;_xlfn.SINGLE(_xll.BQL.DATE(D33)), "PER=m")</f>
        <v>#NAME?</v>
      </c>
      <c r="F33">
        <f>15.3311004638671</f>
        <v>15.3311004638671</v>
      </c>
    </row>
    <row r="34" spans="4:6" x14ac:dyDescent="0.2">
      <c r="D34" s="3">
        <v>43951</v>
      </c>
      <c r="E34" t="e" cm="1">
        <f t="array" aca="1" ref="E34" ca="1">_xll.BQL(E6, "AVERAGE_TRANSACTION_VALUE", "DATES="&amp;_xlfn.SINGLE(_xll.BQL.DATE(D34)), "PER=m")</f>
        <v>#NAME?</v>
      </c>
      <c r="F34">
        <f>18.1550006866455</f>
        <v>18.155000686645501</v>
      </c>
    </row>
    <row r="35" spans="4:6" x14ac:dyDescent="0.2">
      <c r="D35" s="3">
        <v>43982</v>
      </c>
      <c r="E35" t="e" cm="1">
        <f t="array" aca="1" ref="E35" ca="1">_xll.BQL(E6, "AVERAGE_TRANSACTION_VALUE", "DATES="&amp;_xlfn.SINGLE(_xll.BQL.DATE(D35)), "PER=m")</f>
        <v>#NAME?</v>
      </c>
      <c r="F35">
        <f>17.8973007202148</f>
        <v>17.897300720214801</v>
      </c>
    </row>
    <row r="36" spans="4:6" x14ac:dyDescent="0.2">
      <c r="D36" s="3">
        <v>44012</v>
      </c>
      <c r="E36" t="e" cm="1">
        <f t="array" aca="1" ref="E36" ca="1">_xll.BQL(E6, "AVERAGE_TRANSACTION_VALUE", "DATES="&amp;_xlfn.SINGLE(_xll.BQL.DATE(D36)), "PER=m")</f>
        <v>#NAME?</v>
      </c>
      <c r="F36">
        <f>16.8220996856689</f>
        <v>16.822099685668899</v>
      </c>
    </row>
    <row r="37" spans="4:6" x14ac:dyDescent="0.2">
      <c r="D37" s="3">
        <v>44043</v>
      </c>
      <c r="E37" t="e" cm="1">
        <f t="array" aca="1" ref="E37" ca="1">_xll.BQL(E6, "AVERAGE_TRANSACTION_VALUE", "DATES="&amp;_xlfn.SINGLE(_xll.BQL.DATE(D37)), "PER=m")</f>
        <v>#NAME?</v>
      </c>
      <c r="F37">
        <f>16.649299621582</f>
        <v>16.649299621581999</v>
      </c>
    </row>
    <row r="38" spans="4:6" x14ac:dyDescent="0.2">
      <c r="D38" s="3">
        <v>44074</v>
      </c>
      <c r="E38" t="e" cm="1">
        <f t="array" aca="1" ref="E38" ca="1">_xll.BQL(E6, "AVERAGE_TRANSACTION_VALUE", "DATES="&amp;_xlfn.SINGLE(_xll.BQL.DATE(D38)), "PER=m")</f>
        <v>#NAME?</v>
      </c>
      <c r="F38">
        <f>16.8106002807617</f>
        <v>16.810600280761701</v>
      </c>
    </row>
    <row r="39" spans="4:6" x14ac:dyDescent="0.2">
      <c r="D39" s="3">
        <v>44104</v>
      </c>
      <c r="E39" t="e" cm="1">
        <f t="array" aca="1" ref="E39" ca="1">_xll.BQL(E6, "AVERAGE_TRANSACTION_VALUE", "DATES="&amp;_xlfn.SINGLE(_xll.BQL.DATE(D39)), "PER=m")</f>
        <v>#NAME?</v>
      </c>
      <c r="F39">
        <f>16.4582004547119</f>
        <v>16.4582004547119</v>
      </c>
    </row>
    <row r="40" spans="4:6" x14ac:dyDescent="0.2">
      <c r="D40" s="3">
        <v>44135</v>
      </c>
      <c r="E40" t="e" cm="1">
        <f t="array" aca="1" ref="E40" ca="1">_xll.BQL(E6, "AVERAGE_TRANSACTION_VALUE", "DATES="&amp;_xlfn.SINGLE(_xll.BQL.DATE(D40)), "PER=m")</f>
        <v>#NAME?</v>
      </c>
      <c r="F40">
        <f>16.3633003234863</f>
        <v>16.3633003234863</v>
      </c>
    </row>
    <row r="41" spans="4:6" x14ac:dyDescent="0.2">
      <c r="D41" s="3">
        <v>44165</v>
      </c>
      <c r="E41" t="e" cm="1">
        <f t="array" aca="1" ref="E41" ca="1">_xll.BQL(E6, "AVERAGE_TRANSACTION_VALUE", "DATES="&amp;_xlfn.SINGLE(_xll.BQL.DATE(D41)), "PER=m")</f>
        <v>#NAME?</v>
      </c>
      <c r="F41">
        <f>16.4039001464843</f>
        <v>16.4039001464843</v>
      </c>
    </row>
    <row r="42" spans="4:6" x14ac:dyDescent="0.2">
      <c r="D42" s="3">
        <v>44196</v>
      </c>
      <c r="E42" t="e" cm="1">
        <f t="array" aca="1" ref="E42" ca="1">_xll.BQL(E6, "AVERAGE_TRANSACTION_VALUE", "DATES="&amp;_xlfn.SINGLE(_xll.BQL.DATE(D42)), "PER=m")</f>
        <v>#NAME?</v>
      </c>
      <c r="F42">
        <f>17.0811004638671</f>
        <v>17.081100463867099</v>
      </c>
    </row>
    <row r="43" spans="4:6" x14ac:dyDescent="0.2">
      <c r="D43" s="3">
        <v>44227</v>
      </c>
      <c r="E43" t="e" cm="1">
        <f t="array" aca="1" ref="E43" ca="1">_xll.BQL(E6, "AVERAGE_TRANSACTION_VALUE", "DATES="&amp;_xlfn.SINGLE(_xll.BQL.DATE(D43)), "PER=m")</f>
        <v>#NAME?</v>
      </c>
      <c r="F43">
        <f>17.1849994659423</f>
        <v>17.184999465942301</v>
      </c>
    </row>
    <row r="44" spans="4:6" x14ac:dyDescent="0.2">
      <c r="D44" s="3">
        <v>44255</v>
      </c>
      <c r="E44" t="e" cm="1">
        <f t="array" aca="1" ref="E44" ca="1">_xll.BQL(E6, "AVERAGE_TRANSACTION_VALUE", "DATES="&amp;_xlfn.SINGLE(_xll.BQL.DATE(D44)), "PER=m")</f>
        <v>#NAME?</v>
      </c>
      <c r="F44">
        <f>16.9918003082275</f>
        <v>16.9918003082275</v>
      </c>
    </row>
    <row r="45" spans="4:6" x14ac:dyDescent="0.2">
      <c r="D45" s="3">
        <v>44286</v>
      </c>
      <c r="E45" t="e" cm="1">
        <f t="array" aca="1" ref="E45" ca="1">_xll.BQL(E6, "AVERAGE_TRANSACTION_VALUE", "DATES="&amp;_xlfn.SINGLE(_xll.BQL.DATE(D45)), "PER=m")</f>
        <v>#NAME?</v>
      </c>
      <c r="F45">
        <f>17.0981006622314</f>
        <v>17.098100662231399</v>
      </c>
    </row>
    <row r="46" spans="4:6" x14ac:dyDescent="0.2">
      <c r="D46" s="3">
        <v>44316</v>
      </c>
      <c r="E46" t="e" cm="1">
        <f t="array" aca="1" ref="E46" ca="1">_xll.BQL(E6, "AVERAGE_TRANSACTION_VALUE", "DATES="&amp;_xlfn.SINGLE(_xll.BQL.DATE(D46)), "PER=m")</f>
        <v>#NAME?</v>
      </c>
      <c r="F46">
        <f>17.1436004638671</f>
        <v>17.143600463867099</v>
      </c>
    </row>
    <row r="47" spans="4:6" x14ac:dyDescent="0.2">
      <c r="D47" s="3">
        <v>44347</v>
      </c>
      <c r="E47" t="e" cm="1">
        <f t="array" aca="1" ref="E47" ca="1">_xll.BQL(E6, "AVERAGE_TRANSACTION_VALUE", "DATES="&amp;_xlfn.SINGLE(_xll.BQL.DATE(D47)), "PER=m")</f>
        <v>#NAME?</v>
      </c>
      <c r="F47">
        <f>17.2278995513916</f>
        <v>17.227899551391602</v>
      </c>
    </row>
    <row r="48" spans="4:6" x14ac:dyDescent="0.2">
      <c r="D48" s="3">
        <v>44377</v>
      </c>
      <c r="E48" t="e" cm="1">
        <f t="array" aca="1" ref="E48" ca="1">_xll.BQL(E6, "AVERAGE_TRANSACTION_VALUE", "DATES="&amp;_xlfn.SINGLE(_xll.BQL.DATE(D48)), "PER=m")</f>
        <v>#NAME?</v>
      </c>
      <c r="F48">
        <f>17.104299545288</f>
        <v>17.104299545288001</v>
      </c>
    </row>
    <row r="49" spans="4:6" x14ac:dyDescent="0.2">
      <c r="D49" s="3">
        <v>44408</v>
      </c>
      <c r="E49" t="e" cm="1">
        <f t="array" aca="1" ref="E49" ca="1">_xll.BQL(E6, "AVERAGE_TRANSACTION_VALUE", "DATES="&amp;_xlfn.SINGLE(_xll.BQL.DATE(D49)), "PER=m")</f>
        <v>#NAME?</v>
      </c>
      <c r="F49">
        <f>17.2091007232666</f>
        <v>17.209100723266602</v>
      </c>
    </row>
    <row r="50" spans="4:6" x14ac:dyDescent="0.2">
      <c r="D50" s="3">
        <v>44439</v>
      </c>
      <c r="E50" t="e" cm="1">
        <f t="array" aca="1" ref="E50" ca="1">_xll.BQL(E6, "AVERAGE_TRANSACTION_VALUE", "DATES="&amp;_xlfn.SINGLE(_xll.BQL.DATE(D50)), "PER=m")</f>
        <v>#NAME?</v>
      </c>
      <c r="F50">
        <f>17.1706008911132</f>
        <v>17.1706008911132</v>
      </c>
    </row>
    <row r="51" spans="4:6" x14ac:dyDescent="0.2">
      <c r="D51" s="3">
        <v>44469</v>
      </c>
      <c r="E51" t="e" cm="1">
        <f t="array" aca="1" ref="E51" ca="1">_xll.BQL(E6, "AVERAGE_TRANSACTION_VALUE", "DATES="&amp;_xlfn.SINGLE(_xll.BQL.DATE(D51)), "PER=m")</f>
        <v>#NAME?</v>
      </c>
      <c r="F51">
        <f>17.2240009307861</f>
        <v>17.224000930786101</v>
      </c>
    </row>
    <row r="52" spans="4:6" x14ac:dyDescent="0.2">
      <c r="D52" s="3">
        <v>44500</v>
      </c>
      <c r="E52" t="e" cm="1">
        <f t="array" aca="1" ref="E52" ca="1">_xll.BQL(E6, "AVERAGE_TRANSACTION_VALUE", "DATES="&amp;_xlfn.SINGLE(_xll.BQL.DATE(D52)), "PER=m")</f>
        <v>#NAME?</v>
      </c>
      <c r="F52">
        <f>17.4396991729736</f>
        <v>17.439699172973601</v>
      </c>
    </row>
    <row r="53" spans="4:6" x14ac:dyDescent="0.2">
      <c r="D53" s="3">
        <v>44530</v>
      </c>
      <c r="E53" t="e" cm="1">
        <f t="array" aca="1" ref="E53" ca="1">_xll.BQL(E6, "AVERAGE_TRANSACTION_VALUE", "DATES="&amp;_xlfn.SINGLE(_xll.BQL.DATE(D53)), "PER=m")</f>
        <v>#NAME?</v>
      </c>
      <c r="F53">
        <f>17.4771003723144</f>
        <v>17.4771003723144</v>
      </c>
    </row>
    <row r="54" spans="4:6" x14ac:dyDescent="0.2">
      <c r="D54" s="3">
        <v>44561</v>
      </c>
      <c r="E54" t="e" cm="1">
        <f t="array" aca="1" ref="E54" ca="1">_xll.BQL(E6, "AVERAGE_TRANSACTION_VALUE", "DATES="&amp;_xlfn.SINGLE(_xll.BQL.DATE(D54)), "PER=m")</f>
        <v>#NAME?</v>
      </c>
      <c r="F54">
        <f>18.1851005554199</f>
        <v>18.185100555419901</v>
      </c>
    </row>
    <row r="55" spans="4:6" x14ac:dyDescent="0.2">
      <c r="D55" s="3">
        <v>44592</v>
      </c>
      <c r="E55" t="e" cm="1">
        <f t="array" aca="1" ref="E55" ca="1">_xll.BQL(E6, "AVERAGE_TRANSACTION_VALUE", "DATES="&amp;_xlfn.SINGLE(_xll.BQL.DATE(D55)), "PER=m")</f>
        <v>#NAME?</v>
      </c>
      <c r="F55">
        <f>18.0345993041992</f>
        <v>18.034599304199201</v>
      </c>
    </row>
    <row r="56" spans="4:6" x14ac:dyDescent="0.2">
      <c r="D56" s="3">
        <v>44620</v>
      </c>
      <c r="E56" t="e" cm="1">
        <f t="array" aca="1" ref="E56" ca="1">_xll.BQL(E6, "AVERAGE_TRANSACTION_VALUE", "DATES="&amp;_xlfn.SINGLE(_xll.BQL.DATE(D56)), "PER=m")</f>
        <v>#NAME?</v>
      </c>
      <c r="F56">
        <f>17.8997993469238</f>
        <v>17.8997993469238</v>
      </c>
    </row>
    <row r="57" spans="4:6" x14ac:dyDescent="0.2">
      <c r="D57" s="3">
        <v>44651</v>
      </c>
      <c r="E57" t="e" cm="1">
        <f t="array" aca="1" ref="E57" ca="1">_xll.BQL(E6, "AVERAGE_TRANSACTION_VALUE", "DATES="&amp;_xlfn.SINGLE(_xll.BQL.DATE(D57)), "PER=m")</f>
        <v>#NAME?</v>
      </c>
      <c r="F57">
        <f>17.9771995544433</f>
        <v>17.977199554443299</v>
      </c>
    </row>
    <row r="58" spans="4:6" x14ac:dyDescent="0.2">
      <c r="D58" s="3">
        <v>44681</v>
      </c>
      <c r="E58" t="e" cm="1">
        <f t="array" aca="1" ref="E58" ca="1">_xll.BQL(E6, "AVERAGE_TRANSACTION_VALUE", "DATES="&amp;_xlfn.SINGLE(_xll.BQL.DATE(D58)), "PER=m")</f>
        <v>#NAME?</v>
      </c>
      <c r="F58">
        <f>18.0634994506835</f>
        <v>18.063499450683501</v>
      </c>
    </row>
    <row r="59" spans="4:6" x14ac:dyDescent="0.2">
      <c r="D59" s="3">
        <v>44712</v>
      </c>
      <c r="E59" t="e" cm="1">
        <f t="array" aca="1" ref="E59" ca="1">_xll.BQL(E6, "AVERAGE_TRANSACTION_VALUE", "DATES="&amp;_xlfn.SINGLE(_xll.BQL.DATE(D59)), "PER=m")</f>
        <v>#NAME?</v>
      </c>
      <c r="F59">
        <f>18.6075000762939</f>
        <v>18.607500076293899</v>
      </c>
    </row>
    <row r="60" spans="4:6" x14ac:dyDescent="0.2">
      <c r="D60" s="3">
        <v>44742</v>
      </c>
      <c r="E60" t="e" cm="1">
        <f t="array" aca="1" ref="E60" ca="1">_xll.BQL(E6, "AVERAGE_TRANSACTION_VALUE", "DATES="&amp;_xlfn.SINGLE(_xll.BQL.DATE(D60)), "PER=m")</f>
        <v>#NAME?</v>
      </c>
      <c r="F60">
        <f>18.732400894165</f>
        <v>18.732400894165</v>
      </c>
    </row>
    <row r="61" spans="4:6" x14ac:dyDescent="0.2">
      <c r="D61" s="3">
        <v>44773</v>
      </c>
      <c r="E61" t="e" cm="1">
        <f t="array" aca="1" ref="E61" ca="1">_xll.BQL(E6, "AVERAGE_TRANSACTION_VALUE", "DATES="&amp;_xlfn.SINGLE(_xll.BQL.DATE(D61)), "PER=m")</f>
        <v>#NAME?</v>
      </c>
      <c r="F61">
        <f>18.9734992980957</f>
        <v>18.9734992980957</v>
      </c>
    </row>
    <row r="62" spans="4:6" x14ac:dyDescent="0.2">
      <c r="D62" s="3">
        <v>44804</v>
      </c>
      <c r="E62" t="e" cm="1">
        <f t="array" aca="1" ref="E62" ca="1">_xll.BQL(E6, "AVERAGE_TRANSACTION_VALUE", "DATES="&amp;_xlfn.SINGLE(_xll.BQL.DATE(D62)), "PER=m")</f>
        <v>#NAME?</v>
      </c>
      <c r="F62">
        <f>18.6324996948242</f>
        <v>18.632499694824201</v>
      </c>
    </row>
    <row r="63" spans="4:6" x14ac:dyDescent="0.2">
      <c r="D63" s="3">
        <v>44834</v>
      </c>
      <c r="E63" t="e" cm="1">
        <f t="array" aca="1" ref="E63" ca="1">_xll.BQL(E6, "AVERAGE_TRANSACTION_VALUE", "DATES="&amp;_xlfn.SINGLE(_xll.BQL.DATE(D63)), "PER=m")</f>
        <v>#NAME?</v>
      </c>
      <c r="F63">
        <f>18.7381992340087</f>
        <v>18.7381992340087</v>
      </c>
    </row>
    <row r="64" spans="4:6" x14ac:dyDescent="0.2">
      <c r="D64" s="3">
        <v>44865</v>
      </c>
      <c r="E64" t="e" cm="1">
        <f t="array" aca="1" ref="E64" ca="1">_xll.BQL(E6, "AVERAGE_TRANSACTION_VALUE", "DATES="&amp;_xlfn.SINGLE(_xll.BQL.DATE(D64)), "PER=m")</f>
        <v>#NAME?</v>
      </c>
      <c r="F64">
        <f>18.7436008453369</f>
        <v>18.7436008453369</v>
      </c>
    </row>
    <row r="65" spans="4:6" x14ac:dyDescent="0.2">
      <c r="D65" s="3">
        <v>44895</v>
      </c>
      <c r="E65" t="e" cm="1">
        <f t="array" aca="1" ref="E65" ca="1">_xll.BQL(E6, "AVERAGE_TRANSACTION_VALUE", "DATES="&amp;_xlfn.SINGLE(_xll.BQL.DATE(D65)), "PER=m")</f>
        <v>#NAME?</v>
      </c>
      <c r="F65">
        <f>19.152000427246</f>
        <v>19.152000427246001</v>
      </c>
    </row>
    <row r="66" spans="4:6" x14ac:dyDescent="0.2">
      <c r="D66" s="3">
        <v>44926</v>
      </c>
      <c r="E66" t="e" cm="1">
        <f t="array" aca="1" ref="E66" ca="1">_xll.BQL(E6, "AVERAGE_TRANSACTION_VALUE", "DATES="&amp;_xlfn.SINGLE(_xll.BQL.DATE(D66)), "PER=m")</f>
        <v>#NAME?</v>
      </c>
      <c r="F66">
        <f>19.5802993774414</f>
        <v>19.580299377441399</v>
      </c>
    </row>
    <row r="67" spans="4:6" x14ac:dyDescent="0.2">
      <c r="D67" s="3">
        <v>44957</v>
      </c>
      <c r="E67" t="e" cm="1">
        <f t="array" aca="1" ref="E67" ca="1">_xll.BQL(E6, "AVERAGE_TRANSACTION_VALUE", "DATES="&amp;_xlfn.SINGLE(_xll.BQL.DATE(D67)), "PER=m")</f>
        <v>#NAME?</v>
      </c>
      <c r="F67">
        <f>19.2880001068115</f>
        <v>19.288000106811499</v>
      </c>
    </row>
    <row r="68" spans="4:6" x14ac:dyDescent="0.2">
      <c r="D68" s="3">
        <v>44985</v>
      </c>
      <c r="E68" t="e" cm="1">
        <f t="array" aca="1" ref="E68" ca="1">_xll.BQL(E6, "AVERAGE_TRANSACTION_VALUE", "DATES="&amp;_xlfn.SINGLE(_xll.BQL.DATE(D68)), "PER=m")</f>
        <v>#NAME?</v>
      </c>
      <c r="F68">
        <f>19.2350006103515</f>
        <v>19.235000610351499</v>
      </c>
    </row>
    <row r="69" spans="4:6" x14ac:dyDescent="0.2">
      <c r="D69" s="3">
        <v>45016</v>
      </c>
      <c r="E69" t="e" cm="1">
        <f t="array" aca="1" ref="E69" ca="1">_xll.BQL(E6, "AVERAGE_TRANSACTION_VALUE", "DATES="&amp;_xlfn.SINGLE(_xll.BQL.DATE(D69)), "PER=m")</f>
        <v>#NAME?</v>
      </c>
      <c r="F69">
        <f>19.4094009399414</f>
        <v>19.409400939941399</v>
      </c>
    </row>
    <row r="70" spans="4:6" x14ac:dyDescent="0.2">
      <c r="D70" s="3">
        <v>45046</v>
      </c>
      <c r="E70" t="e" cm="1">
        <f t="array" aca="1" ref="E70" ca="1">_xll.BQL(E6, "AVERAGE_TRANSACTION_VALUE", "DATES="&amp;_xlfn.SINGLE(_xll.BQL.DATE(D70)), "PER=m")</f>
        <v>#NAME?</v>
      </c>
      <c r="F70">
        <f>19.5506992340087</f>
        <v>19.5506992340087</v>
      </c>
    </row>
    <row r="71" spans="4:6" x14ac:dyDescent="0.2">
      <c r="D71" s="3">
        <v>45077</v>
      </c>
      <c r="E71" t="e" cm="1">
        <f t="array" aca="1" ref="E71" ca="1">_xll.BQL(E6, "AVERAGE_TRANSACTION_VALUE", "DATES="&amp;_xlfn.SINGLE(_xll.BQL.DATE(D71)), "PER=m")</f>
        <v>#NAME?</v>
      </c>
      <c r="F71">
        <f>19.4811992645263</f>
        <v>19.4811992645263</v>
      </c>
    </row>
    <row r="72" spans="4:6" x14ac:dyDescent="0.2">
      <c r="D72" s="3">
        <v>45107</v>
      </c>
      <c r="E72" t="e" cm="1">
        <f t="array" aca="1" ref="E72" ca="1">_xll.BQL(E6, "AVERAGE_TRANSACTION_VALUE", "DATES="&amp;_xlfn.SINGLE(_xll.BQL.DATE(D72)), "PER=m")</f>
        <v>#NAME?</v>
      </c>
      <c r="F72">
        <f>19.6811008453369</f>
        <v>19.6811008453369</v>
      </c>
    </row>
    <row r="73" spans="4:6" x14ac:dyDescent="0.2">
      <c r="D73" s="3">
        <v>45138</v>
      </c>
      <c r="E73" t="e" cm="1">
        <f t="array" aca="1" ref="E73" ca="1">_xll.BQL(E6, "AVERAGE_TRANSACTION_VALUE", "DATES="&amp;_xlfn.SINGLE(_xll.BQL.DATE(D73)), "PER=m")</f>
        <v>#NAME?</v>
      </c>
      <c r="F73">
        <f>19.7303009033203</f>
        <v>19.730300903320298</v>
      </c>
    </row>
    <row r="74" spans="4:6" x14ac:dyDescent="0.2">
      <c r="D74" s="3">
        <v>45169</v>
      </c>
      <c r="E74" t="e" cm="1">
        <f t="array" aca="1" ref="E74" ca="1">_xll.BQL(E6, "AVERAGE_TRANSACTION_VALUE", "DATES="&amp;_xlfn.SINGLE(_xll.BQL.DATE(D74)), "PER=m")</f>
        <v>#NAME?</v>
      </c>
      <c r="F74">
        <f>19.3943996429443</f>
        <v>19.3943996429443</v>
      </c>
    </row>
    <row r="75" spans="4:6" x14ac:dyDescent="0.2">
      <c r="D75" s="3">
        <v>45199</v>
      </c>
      <c r="E75" t="e" cm="1">
        <f t="array" aca="1" ref="E75" ca="1">_xll.BQL(E6, "AVERAGE_TRANSACTION_VALUE", "DATES="&amp;_xlfn.SINGLE(_xll.BQL.DATE(D75)), "PER=m")</f>
        <v>#NAME?</v>
      </c>
      <c r="F75">
        <f>19.4195003509521</f>
        <v>19.419500350952099</v>
      </c>
    </row>
    <row r="76" spans="4:6" x14ac:dyDescent="0.2">
      <c r="D76" s="3">
        <v>45230</v>
      </c>
      <c r="E76" t="e" cm="1">
        <f t="array" aca="1" ref="E76" ca="1">_xll.BQL(E6, "AVERAGE_TRANSACTION_VALUE", "DATES="&amp;_xlfn.SINGLE(_xll.BQL.DATE(D76)), "PER=m")</f>
        <v>#NAME?</v>
      </c>
      <c r="F76">
        <f>19.4705009460449</f>
        <v>19.470500946044901</v>
      </c>
    </row>
    <row r="77" spans="4:6" x14ac:dyDescent="0.2">
      <c r="D77" s="3">
        <v>45260</v>
      </c>
      <c r="E77" t="e" cm="1">
        <f t="array" aca="1" ref="E77" ca="1">_xll.BQL(E6, "AVERAGE_TRANSACTION_VALUE", "DATES="&amp;_xlfn.SINGLE(_xll.BQL.DATE(D77)), "PER=m")</f>
        <v>#NAME?</v>
      </c>
      <c r="F77">
        <f>19.6767997741699</f>
        <v>19.676799774169901</v>
      </c>
    </row>
    <row r="78" spans="4:6" x14ac:dyDescent="0.2">
      <c r="D78" s="3">
        <v>45291</v>
      </c>
      <c r="E78" t="e" cm="1">
        <f t="array" aca="1" ref="E78" ca="1">_xll.BQL(E6, "AVERAGE_TRANSACTION_VALUE", "DATES="&amp;_xlfn.SINGLE(_xll.BQL.DATE(D78)), "PER=m")</f>
        <v>#NAME?</v>
      </c>
      <c r="F78">
        <f>20.1126995086669</f>
        <v>20.1126995086669</v>
      </c>
    </row>
    <row r="79" spans="4:6" x14ac:dyDescent="0.2">
      <c r="D79" s="3">
        <v>45322</v>
      </c>
      <c r="E79" t="e" cm="1">
        <f t="array" aca="1" ref="E79" ca="1">_xll.BQL(E6, "AVERAGE_TRANSACTION_VALUE", "DATES="&amp;_xlfn.SINGLE(_xll.BQL.DATE(D79)), "PER=m")</f>
        <v>#NAME?</v>
      </c>
      <c r="F79">
        <f>19.6480998992919</f>
        <v>19.6480998992919</v>
      </c>
    </row>
    <row r="80" spans="4:6" x14ac:dyDescent="0.2">
      <c r="D80" s="3">
        <v>45351</v>
      </c>
      <c r="E80" t="e" cm="1">
        <f t="array" aca="1" ref="E80" ca="1">_xll.BQL(E6, "AVERAGE_TRANSACTION_VALUE", "DATES="&amp;_xlfn.SINGLE(_xll.BQL.DATE(D80)), "PER=m")</f>
        <v>#NAME?</v>
      </c>
      <c r="F80">
        <f>19.7576007843017</f>
        <v>19.757600784301701</v>
      </c>
    </row>
    <row r="81" spans="4:6" x14ac:dyDescent="0.2">
      <c r="D81" s="3">
        <v>45382</v>
      </c>
      <c r="E81" t="e" cm="1">
        <f t="array" aca="1" ref="E81" ca="1">_xll.BQL(E6, "AVERAGE_TRANSACTION_VALUE", "DATES="&amp;_xlfn.SINGLE(_xll.BQL.DATE(D81)), "PER=m")</f>
        <v>#NAME?</v>
      </c>
      <c r="F81">
        <f>20.0930995941162</f>
        <v>20.0930995941162</v>
      </c>
    </row>
    <row r="82" spans="4:6" x14ac:dyDescent="0.2">
      <c r="D82" s="3">
        <v>45412</v>
      </c>
      <c r="E82" t="e" cm="1">
        <f t="array" aca="1" ref="E82" ca="1">_xll.BQL(E6, "AVERAGE_TRANSACTION_VALUE", "DATES="&amp;_xlfn.SINGLE(_xll.BQL.DATE(D82)), "PER=m")</f>
        <v>#NAME?</v>
      </c>
      <c r="F82">
        <f>19.8617000579834</f>
        <v>19.861700057983398</v>
      </c>
    </row>
    <row r="83" spans="4:6" x14ac:dyDescent="0.2">
      <c r="D83" s="3">
        <v>45443</v>
      </c>
      <c r="E83" t="e" cm="1">
        <f t="array" aca="1" ref="E83" ca="1">_xll.BQL(E6, "AVERAGE_TRANSACTION_VALUE", "DATES="&amp;_xlfn.SINGLE(_xll.BQL.DATE(D83)), "PER=m")</f>
        <v>#NAME?</v>
      </c>
      <c r="F83">
        <f>20.1054992675781</f>
        <v>20.1054992675781</v>
      </c>
    </row>
    <row r="84" spans="4:6" x14ac:dyDescent="0.2">
      <c r="D84" s="3">
        <v>45473</v>
      </c>
      <c r="E84" t="e" cm="1">
        <f t="array" aca="1" ref="E84" ca="1">_xll.BQL(E6, "AVERAGE_TRANSACTION_VALUE", "DATES="&amp;_xlfn.SINGLE(_xll.BQL.DATE(D84)), "PER=m")</f>
        <v>#NAME?</v>
      </c>
      <c r="F84">
        <f>20.1012001037597</f>
        <v>20.101200103759702</v>
      </c>
    </row>
    <row r="85" spans="4:6" x14ac:dyDescent="0.2">
      <c r="D85" s="3">
        <v>45504</v>
      </c>
      <c r="E85" t="e" cm="1">
        <f t="array" aca="1" ref="E85" ca="1">_xll.BQL(E6, "AVERAGE_TRANSACTION_VALUE", "DATES="&amp;_xlfn.SINGLE(_xll.BQL.DATE(D85)), "PER=m")</f>
        <v>#NAME?</v>
      </c>
      <c r="F85">
        <f>20.116600036621</f>
        <v>20.116600036621001</v>
      </c>
    </row>
    <row r="86" spans="4:6" x14ac:dyDescent="0.2">
      <c r="D86" s="3">
        <v>45535</v>
      </c>
      <c r="E86" t="e" cm="1">
        <f t="array" aca="1" ref="E86" ca="1">_xll.BQL(E6, "AVERAGE_TRANSACTION_VALUE", "DATES="&amp;_xlfn.SINGLE(_xll.BQL.DATE(D86)), "PER=m")</f>
        <v>#NAME?</v>
      </c>
      <c r="F86">
        <f>19.8962001800537</f>
        <v>19.8962001800537</v>
      </c>
    </row>
    <row r="87" spans="4:6" x14ac:dyDescent="0.2">
      <c r="D87" s="3">
        <v>45565</v>
      </c>
      <c r="E87" t="e" cm="1">
        <f t="array" aca="1" ref="E87" ca="1">_xll.BQL(E6, "AVERAGE_TRANSACTION_VALUE", "DATES="&amp;_xlfn.SINGLE(_xll.BQL.DATE(D87)), "PER=m")</f>
        <v>#NAME?</v>
      </c>
      <c r="F87">
        <f>19.8020992279052</f>
        <v>19.802099227905199</v>
      </c>
    </row>
    <row r="88" spans="4:6" x14ac:dyDescent="0.2">
      <c r="D88" s="3">
        <v>45596</v>
      </c>
      <c r="E88" t="e" cm="1">
        <f t="array" aca="1" ref="E88" ca="1">_xll.BQL(E6, "AVERAGE_TRANSACTION_VALUE", "DATES="&amp;_xlfn.SINGLE(_xll.BQL.DATE(D88)), "PER=m")</f>
        <v>#NAME?</v>
      </c>
      <c r="F88">
        <f>19.8038005828857</f>
        <v>19.8038005828857</v>
      </c>
    </row>
    <row r="89" spans="4:6" x14ac:dyDescent="0.2">
      <c r="D89" s="3">
        <v>45626</v>
      </c>
      <c r="E89" t="e" cm="1">
        <f t="array" aca="1" ref="E89" ca="1">_xll.BQL(E6, "AVERAGE_TRANSACTION_VALUE", "DATES="&amp;_xlfn.SINGLE(_xll.BQL.DATE(D89)), "PER=m")</f>
        <v>#NAME?</v>
      </c>
      <c r="F89">
        <f>20.0351009368896</f>
        <v>20.035100936889599</v>
      </c>
    </row>
    <row r="90" spans="4:6" x14ac:dyDescent="0.2">
      <c r="D90" s="3">
        <v>45657</v>
      </c>
      <c r="E90" t="e" cm="1">
        <f t="array" aca="1" ref="E90" ca="1">_xll.BQL(E6, "AVERAGE_TRANSACTION_VALUE", "DATES="&amp;_xlfn.SINGLE(_xll.BQL.DATE(D90)), "PER=m")</f>
        <v>#NAME?</v>
      </c>
      <c r="F90">
        <f>20.4734001159667</f>
        <v>20.473400115966701</v>
      </c>
    </row>
    <row r="91" spans="4:6" x14ac:dyDescent="0.2">
      <c r="D91" s="3">
        <v>45688</v>
      </c>
      <c r="E91" t="e" cm="1">
        <f t="array" aca="1" ref="E91" ca="1">_xll.BQL(E6, "AVERAGE_TRANSACTION_VALUE", "DATES="&amp;_xlfn.SINGLE(_xll.BQL.DATE(D91)), "PER=m")</f>
        <v>#NAME?</v>
      </c>
      <c r="F91">
        <f>20.2922992706298</f>
        <v>20.292299270629801</v>
      </c>
    </row>
    <row r="92" spans="4:6" x14ac:dyDescent="0.2">
      <c r="D92" s="3">
        <v>45716</v>
      </c>
      <c r="E92" t="e" cm="1">
        <f t="array" aca="1" ref="E92" ca="1">_xll.BQL(E6, "AVERAGE_TRANSACTION_VALUE", "DATES="&amp;_xlfn.SINGLE(_xll.BQL.DATE(D92)), "PER=m")</f>
        <v>#NAME?</v>
      </c>
      <c r="F92">
        <f>20.2096004486084</f>
        <v>20.209600448608398</v>
      </c>
    </row>
    <row r="93" spans="4:6" x14ac:dyDescent="0.2">
      <c r="D93" s="3">
        <v>45747</v>
      </c>
      <c r="E93" t="e" cm="1">
        <f t="array" aca="1" ref="E93" ca="1">_xll.BQL(E6, "AVERAGE_TRANSACTION_VALUE", "DATES="&amp;_xlfn.SINGLE(_xll.BQL.DATE(D93)), "PER=m")</f>
        <v>#NAME?</v>
      </c>
      <c r="F93">
        <f>20.5925998687744</f>
        <v>20.5925998687744</v>
      </c>
    </row>
    <row r="94" spans="4:6" x14ac:dyDescent="0.2">
      <c r="D94" s="3">
        <v>45777</v>
      </c>
      <c r="E94" t="e" cm="1">
        <f t="array" aca="1" ref="E94" ca="1">_xll.BQL(E6, "AVERAGE_TRANSACTION_VALUE", "DATES="&amp;_xlfn.SINGLE(_xll.BQL.DATE(D94)), "PER=m")</f>
        <v>#NAME?</v>
      </c>
      <c r="F94">
        <f>20.0774002075195</f>
        <v>20.077400207519499</v>
      </c>
    </row>
    <row r="95" spans="4:6" x14ac:dyDescent="0.2">
      <c r="D95" s="3">
        <v>45808</v>
      </c>
      <c r="E95" t="e" cm="1">
        <f t="array" aca="1" ref="E95" ca="1">_xll.BQL(E6, "AVERAGE_TRANSACTION_VALUE", "DATES="&amp;_xlfn.SINGLE(_xll.BQL.DATE(D95)), "PER=m")</f>
        <v>#NAME?</v>
      </c>
      <c r="F95">
        <f>20.5193996429443</f>
        <v>20.5193996429443</v>
      </c>
    </row>
    <row r="96" spans="4:6" x14ac:dyDescent="0.2">
      <c r="D96" s="3">
        <v>45838</v>
      </c>
      <c r="E96" t="e" cm="1">
        <f t="array" aca="1" ref="E96" ca="1">_xll.BQL(E6, "AVERAGE_TRANSACTION_VALUE", "DATES="&amp;_xlfn.SINGLE(_xll.BQL.DATE(D96)), "PER=m")</f>
        <v>#NAME?</v>
      </c>
      <c r="F96">
        <f>20.6250991821289</f>
        <v>20.625099182128899</v>
      </c>
    </row>
    <row r="97" spans="1:6" x14ac:dyDescent="0.2">
      <c r="D97" s="3">
        <v>45869</v>
      </c>
      <c r="E97" t="e" cm="1">
        <f t="array" aca="1" ref="E97" ca="1">_xll.BQL(E6, "AVERAGE_TRANSACTION_VALUE", "DATES="&amp;_xlfn.SINGLE(_xll.BQL.DATE(D97)), "PER=m")</f>
        <v>#NAME?</v>
      </c>
      <c r="F97">
        <f>20.3661994934082</f>
        <v>20.3661994934082</v>
      </c>
    </row>
    <row r="98" spans="1:6" x14ac:dyDescent="0.2">
      <c r="D98" s="3">
        <v>45900</v>
      </c>
      <c r="E98" t="e" cm="1">
        <f t="array" aca="1" ref="E98" ca="1">_xll.BQL(E6, "AVERAGE_TRANSACTION_VALUE", "DATES="&amp;_xlfn.SINGLE(_xll.BQL.DATE(D98)), "PER=m")</f>
        <v>#NAME?</v>
      </c>
      <c r="F98">
        <f>20.3864994049072</f>
        <v>20.386499404907202</v>
      </c>
    </row>
    <row r="99" spans="1:6" x14ac:dyDescent="0.2">
      <c r="D99" s="3">
        <v>45930</v>
      </c>
      <c r="E99" t="e" cm="1">
        <f t="array" aca="1" ref="E99" ca="1">_xll.BQL(E6, "AVERAGE_TRANSACTION_VALUE", "DATES="&amp;_xlfn.SINGLE(_xll.BQL.DATE(D99)), "PER=m")</f>
        <v>#NAME?</v>
      </c>
      <c r="F99">
        <f>20.131700515747</f>
        <v>20.131700515746999</v>
      </c>
    </row>
    <row r="100" spans="1:6" x14ac:dyDescent="0.2">
      <c r="D100" s="3">
        <v>45961</v>
      </c>
      <c r="E100" t="e" cm="1">
        <f t="array" aca="1" ref="E100" ca="1">_xll.BQL(E6, "AVERAGE_TRANSACTION_VALUE", "DATES="&amp;_xlfn.SINGLE(_xll.BQL.DATE(D100)), "PER=m")</f>
        <v>#NAME?</v>
      </c>
      <c r="F100">
        <f>20.1266994476318</f>
        <v>20.1266994476318</v>
      </c>
    </row>
    <row r="101" spans="1:6" x14ac:dyDescent="0.2">
      <c r="D101" s="3">
        <v>45991</v>
      </c>
      <c r="E101" t="e" cm="1">
        <f t="array" aca="1" ref="E101" ca="1">_xll.BQL(E6, "AVERAGE_TRANSACTION_VALUE", "DATES="&amp;_xlfn.SINGLE(_xll.BQL.DATE(D101)), "PER=m")</f>
        <v>#NAME?</v>
      </c>
      <c r="F101">
        <f>20.8607997894287</f>
        <v>20.8607997894287</v>
      </c>
    </row>
    <row r="102" spans="1:6" x14ac:dyDescent="0.2">
      <c r="D102" s="3">
        <v>46022</v>
      </c>
      <c r="E102" t="e" cm="1">
        <f t="array" aca="1" ref="E102" ca="1">_xll.BQL(E6, "AVERAGE_TRANSACTION_VALUE", "DATES="&amp;_xlfn.SINGLE(_xll.BQL.DATE(D102)), "PER=m")</f>
        <v>#NAME?</v>
      </c>
      <c r="F102">
        <f>21.2882003784179</f>
        <v>21.288200378417901</v>
      </c>
    </row>
    <row r="103" spans="1:6" x14ac:dyDescent="0.2">
      <c r="D103" s="3">
        <v>46053</v>
      </c>
      <c r="E103" t="e" cm="1">
        <f t="array" aca="1" ref="E103" ca="1">_xll.BQL(E6, "AVERAGE_TRANSACTION_VALUE", "DATES="&amp;_xlfn.SINGLE(_xll.BQL.DATE(D103)), "PER=m")</f>
        <v>#NAME?</v>
      </c>
      <c r="F103">
        <f>20.7092990875244</f>
        <v>20.7092990875244</v>
      </c>
    </row>
    <row r="104" spans="1:6" x14ac:dyDescent="0.2">
      <c r="D104" s="3">
        <v>46081</v>
      </c>
      <c r="E104" t="e" cm="1">
        <f t="array" aca="1" ref="E104" ca="1">_xll.BQL(E6, "AVERAGE_TRANSACTION_VALUE", "DATES="&amp;_xlfn.SINGLE(_xll.BQL.DATE(D104)), "PER=m")</f>
        <v>#NAME?</v>
      </c>
      <c r="F104">
        <f>20.5522003173828</f>
        <v>20.552200317382798</v>
      </c>
    </row>
    <row r="105" spans="1:6" x14ac:dyDescent="0.2">
      <c r="D105" s="3">
        <v>46112</v>
      </c>
      <c r="E105" t="e" cm="1">
        <f t="array" aca="1" ref="E105" ca="1">_xll.BQL(E6, "AVERAGE_TRANSACTION_VALUE", "DATES="&amp;_xlfn.SINGLE(_xll.BQL.DATE(D105)), "PER=m")</f>
        <v>#NAME?</v>
      </c>
      <c r="F105">
        <f>20.4398002624511</f>
        <v>20.439800262451101</v>
      </c>
    </row>
    <row r="107" spans="1:6" x14ac:dyDescent="0.2">
      <c r="A107" s="2"/>
      <c r="B107" s="2"/>
      <c r="C107" s="2"/>
      <c r="D107" s="2" t="s">
        <v>6</v>
      </c>
    </row>
  </sheetData>
  <mergeCells count="3">
    <mergeCell ref="D3:F3"/>
    <mergeCell ref="D4:F4"/>
    <mergeCell ref="E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02B0-78BA-4555-8E9A-24AE0CFC8375}">
  <dimension ref="A1:L100"/>
  <sheetViews>
    <sheetView topLeftCell="A80" workbookViewId="0">
      <selection activeCell="I1" sqref="I1:J10"/>
    </sheetView>
  </sheetViews>
  <sheetFormatPr baseColWidth="10" defaultColWidth="8.83203125" defaultRowHeight="15" x14ac:dyDescent="0.2"/>
  <cols>
    <col min="1" max="1" width="13.5" bestFit="1" customWidth="1"/>
    <col min="2" max="2" width="14.5" bestFit="1" customWidth="1"/>
    <col min="3" max="3" width="34.6640625" bestFit="1" customWidth="1"/>
  </cols>
  <sheetData>
    <row r="1" spans="1:12" x14ac:dyDescent="0.2">
      <c r="A1" s="6" t="s">
        <v>4</v>
      </c>
      <c r="B1" s="6" t="s">
        <v>2</v>
      </c>
      <c r="C1" s="6" t="s">
        <v>5</v>
      </c>
      <c r="E1" s="6" t="s">
        <v>7</v>
      </c>
      <c r="I1" s="6" t="s">
        <v>7</v>
      </c>
      <c r="J1" s="6" t="s">
        <v>8</v>
      </c>
    </row>
    <row r="2" spans="1:12" x14ac:dyDescent="0.2">
      <c r="A2" s="3">
        <v>43131</v>
      </c>
      <c r="B2">
        <v>13.68</v>
      </c>
      <c r="C2">
        <v>13.4422998428344</v>
      </c>
      <c r="E2" s="8">
        <v>2018</v>
      </c>
      <c r="F2">
        <v>14.068333333333333</v>
      </c>
      <c r="G2">
        <f>AVERAGEIFS($B$2:$B$100,$A$2:$A$100, "&gt;=" &amp; DATE(E2,1,1),$A$2:$A$100, "&lt;=" &amp; DATE(E2,12,31))</f>
        <v>14.068333333333333</v>
      </c>
      <c r="I2" s="7">
        <v>43101</v>
      </c>
      <c r="J2">
        <v>14.07</v>
      </c>
      <c r="K2">
        <v>14.068333333333333</v>
      </c>
      <c r="L2">
        <f>ROUND(K2, 2)</f>
        <v>14.07</v>
      </c>
    </row>
    <row r="3" spans="1:12" x14ac:dyDescent="0.2">
      <c r="A3" s="3">
        <v>43159</v>
      </c>
      <c r="B3">
        <v>13.74</v>
      </c>
      <c r="C3">
        <v>13.4137001037597</v>
      </c>
      <c r="E3" s="8">
        <v>2019</v>
      </c>
      <c r="F3">
        <v>14.955833333333336</v>
      </c>
      <c r="G3">
        <f t="shared" ref="G3:G10" si="0">AVERAGEIFS($B$2:$B$100,$A$2:$A$100, "&gt;=" &amp; DATE(E3,1,1),$A$2:$A$100, "&lt;=" &amp; DATE(E3,12,31))</f>
        <v>14.955833333333336</v>
      </c>
      <c r="I3" s="7">
        <v>43466</v>
      </c>
      <c r="J3">
        <v>14.96</v>
      </c>
      <c r="K3">
        <v>14.955833333333336</v>
      </c>
      <c r="L3">
        <f t="shared" ref="L3:L10" si="1">ROUND(K3, 2)</f>
        <v>14.96</v>
      </c>
    </row>
    <row r="4" spans="1:12" x14ac:dyDescent="0.2">
      <c r="A4" s="3">
        <v>43190</v>
      </c>
      <c r="B4">
        <v>13.95</v>
      </c>
      <c r="C4">
        <v>13.6178998947143</v>
      </c>
      <c r="E4" s="8">
        <v>2020</v>
      </c>
      <c r="F4">
        <v>17.745833333333334</v>
      </c>
      <c r="G4">
        <f t="shared" si="0"/>
        <v>17.745833333333334</v>
      </c>
      <c r="I4" s="7">
        <v>43831</v>
      </c>
      <c r="J4">
        <v>17.75</v>
      </c>
      <c r="K4">
        <v>17.745833333333334</v>
      </c>
      <c r="L4">
        <f t="shared" si="1"/>
        <v>17.75</v>
      </c>
    </row>
    <row r="5" spans="1:12" x14ac:dyDescent="0.2">
      <c r="A5" s="3">
        <v>43220</v>
      </c>
      <c r="B5">
        <v>13.79</v>
      </c>
      <c r="C5">
        <v>13.579400062561</v>
      </c>
      <c r="E5" s="8">
        <v>2021</v>
      </c>
      <c r="F5">
        <v>18.89833333333333</v>
      </c>
      <c r="G5">
        <f t="shared" si="0"/>
        <v>18.89833333333333</v>
      </c>
      <c r="I5" s="7">
        <v>44197</v>
      </c>
      <c r="J5">
        <v>18.899999999999999</v>
      </c>
      <c r="K5">
        <v>18.89833333333333</v>
      </c>
      <c r="L5">
        <f t="shared" si="1"/>
        <v>18.899999999999999</v>
      </c>
    </row>
    <row r="6" spans="1:12" x14ac:dyDescent="0.2">
      <c r="A6" s="3">
        <v>43251</v>
      </c>
      <c r="B6">
        <v>14.19</v>
      </c>
      <c r="C6">
        <v>13.9502000808715</v>
      </c>
      <c r="E6" s="8">
        <v>2022</v>
      </c>
      <c r="F6">
        <v>19.995833333333334</v>
      </c>
      <c r="G6">
        <f t="shared" si="0"/>
        <v>19.995833333333334</v>
      </c>
      <c r="I6" s="7">
        <v>44562</v>
      </c>
      <c r="J6">
        <v>20</v>
      </c>
      <c r="K6">
        <v>19.995833333333334</v>
      </c>
      <c r="L6">
        <f t="shared" si="1"/>
        <v>20</v>
      </c>
    </row>
    <row r="7" spans="1:12" x14ac:dyDescent="0.2">
      <c r="A7" s="3">
        <v>43281</v>
      </c>
      <c r="B7">
        <v>14.25</v>
      </c>
      <c r="C7">
        <v>14.1205997467041</v>
      </c>
      <c r="E7" s="8">
        <v>2023</v>
      </c>
      <c r="F7">
        <v>20.540000000000003</v>
      </c>
      <c r="G7">
        <f t="shared" si="0"/>
        <v>20.540000000000003</v>
      </c>
      <c r="I7" s="7">
        <v>44927</v>
      </c>
      <c r="J7">
        <v>20.54</v>
      </c>
      <c r="K7">
        <v>20.540000000000003</v>
      </c>
      <c r="L7">
        <f t="shared" si="1"/>
        <v>20.54</v>
      </c>
    </row>
    <row r="8" spans="1:12" x14ac:dyDescent="0.2">
      <c r="A8" s="3">
        <v>43312</v>
      </c>
      <c r="B8">
        <v>14.2</v>
      </c>
      <c r="C8">
        <v>14.202500343322701</v>
      </c>
      <c r="E8" s="8">
        <v>2024</v>
      </c>
      <c r="F8">
        <v>20.935833333333335</v>
      </c>
      <c r="G8">
        <f t="shared" si="0"/>
        <v>20.935833333333335</v>
      </c>
      <c r="I8" s="7">
        <v>45292</v>
      </c>
      <c r="J8">
        <v>20.94</v>
      </c>
      <c r="K8">
        <v>20.935833333333335</v>
      </c>
      <c r="L8">
        <f t="shared" si="1"/>
        <v>20.94</v>
      </c>
    </row>
    <row r="9" spans="1:12" x14ac:dyDescent="0.2">
      <c r="A9" s="3">
        <v>43343</v>
      </c>
      <c r="B9">
        <v>14.07</v>
      </c>
      <c r="C9">
        <v>13.9245996475219</v>
      </c>
      <c r="E9" s="8">
        <v>2025</v>
      </c>
      <c r="F9">
        <v>21.129166666666666</v>
      </c>
      <c r="G9">
        <f t="shared" si="0"/>
        <v>21.129166666666666</v>
      </c>
      <c r="I9" s="7">
        <v>45658</v>
      </c>
      <c r="J9">
        <v>21.13</v>
      </c>
      <c r="K9">
        <v>21.129166666666666</v>
      </c>
      <c r="L9">
        <f t="shared" si="1"/>
        <v>21.13</v>
      </c>
    </row>
    <row r="10" spans="1:12" x14ac:dyDescent="0.2">
      <c r="A10" s="3">
        <v>43373</v>
      </c>
      <c r="B10">
        <v>13.98</v>
      </c>
      <c r="C10">
        <v>13.833299636840801</v>
      </c>
      <c r="E10" s="8">
        <v>2026</v>
      </c>
      <c r="F10">
        <v>20.993333333333336</v>
      </c>
      <c r="G10">
        <f t="shared" si="0"/>
        <v>20.993333333333336</v>
      </c>
      <c r="I10" s="7">
        <v>46023</v>
      </c>
      <c r="J10">
        <v>20.99</v>
      </c>
      <c r="K10">
        <v>20.993333333333336</v>
      </c>
      <c r="L10">
        <f t="shared" si="1"/>
        <v>20.99</v>
      </c>
    </row>
    <row r="11" spans="1:12" x14ac:dyDescent="0.2">
      <c r="A11" s="3">
        <v>43404</v>
      </c>
      <c r="B11">
        <v>13.81</v>
      </c>
      <c r="C11">
        <v>13.6189002990722</v>
      </c>
    </row>
    <row r="12" spans="1:12" x14ac:dyDescent="0.2">
      <c r="A12" s="3">
        <v>43434</v>
      </c>
      <c r="B12">
        <v>14.17</v>
      </c>
      <c r="C12">
        <v>13.7409000396728</v>
      </c>
    </row>
    <row r="13" spans="1:12" x14ac:dyDescent="0.2">
      <c r="A13" s="3">
        <v>43465</v>
      </c>
      <c r="B13">
        <v>14.99</v>
      </c>
      <c r="C13">
        <v>14.400300025939901</v>
      </c>
    </row>
    <row r="14" spans="1:12" x14ac:dyDescent="0.2">
      <c r="A14" s="3">
        <v>43496</v>
      </c>
      <c r="B14">
        <v>14.59</v>
      </c>
      <c r="C14">
        <v>13.7918996810913</v>
      </c>
    </row>
    <row r="15" spans="1:12" x14ac:dyDescent="0.2">
      <c r="A15" s="3">
        <v>43524</v>
      </c>
      <c r="B15">
        <v>14.61</v>
      </c>
      <c r="C15">
        <v>13.9292001724243</v>
      </c>
    </row>
    <row r="16" spans="1:12" x14ac:dyDescent="0.2">
      <c r="A16" s="3">
        <v>43555</v>
      </c>
      <c r="B16">
        <v>14.89</v>
      </c>
      <c r="C16">
        <v>14.3320999145507</v>
      </c>
    </row>
    <row r="17" spans="1:3" x14ac:dyDescent="0.2">
      <c r="A17" s="3">
        <v>43585</v>
      </c>
      <c r="B17">
        <v>14.78</v>
      </c>
      <c r="C17">
        <v>14.031200408935501</v>
      </c>
    </row>
    <row r="18" spans="1:3" x14ac:dyDescent="0.2">
      <c r="A18" s="3">
        <v>43616</v>
      </c>
      <c r="B18">
        <v>14.96</v>
      </c>
      <c r="C18">
        <v>14.1545000076293</v>
      </c>
    </row>
    <row r="19" spans="1:3" x14ac:dyDescent="0.2">
      <c r="A19" s="3">
        <v>43646</v>
      </c>
      <c r="B19">
        <v>14.97</v>
      </c>
      <c r="C19">
        <v>14.3922996520996</v>
      </c>
    </row>
    <row r="20" spans="1:3" x14ac:dyDescent="0.2">
      <c r="A20" s="3">
        <v>43677</v>
      </c>
      <c r="B20">
        <v>14.89</v>
      </c>
      <c r="C20">
        <v>14.3762998580932</v>
      </c>
    </row>
    <row r="21" spans="1:3" x14ac:dyDescent="0.2">
      <c r="A21" s="3">
        <v>43708</v>
      </c>
      <c r="B21">
        <v>14.82</v>
      </c>
      <c r="C21">
        <v>14.078599929809499</v>
      </c>
    </row>
    <row r="22" spans="1:3" x14ac:dyDescent="0.2">
      <c r="A22" s="3">
        <v>43738</v>
      </c>
      <c r="B22">
        <v>14.77</v>
      </c>
      <c r="C22">
        <v>13.9451999664306</v>
      </c>
    </row>
    <row r="23" spans="1:3" x14ac:dyDescent="0.2">
      <c r="A23" s="3">
        <v>43769</v>
      </c>
      <c r="B23">
        <v>14.87</v>
      </c>
      <c r="C23">
        <v>13.9013004302978</v>
      </c>
    </row>
    <row r="24" spans="1:3" x14ac:dyDescent="0.2">
      <c r="A24" s="3">
        <v>43799</v>
      </c>
      <c r="B24">
        <v>15.37</v>
      </c>
      <c r="C24">
        <v>14.221899986266999</v>
      </c>
    </row>
    <row r="25" spans="1:3" x14ac:dyDescent="0.2">
      <c r="A25" s="3">
        <v>43830</v>
      </c>
      <c r="B25">
        <v>15.95</v>
      </c>
      <c r="C25">
        <v>14.644700050354</v>
      </c>
    </row>
    <row r="26" spans="1:3" x14ac:dyDescent="0.2">
      <c r="A26" s="3">
        <v>43861</v>
      </c>
      <c r="B26">
        <v>15.41</v>
      </c>
      <c r="C26">
        <v>14.3025999069213</v>
      </c>
    </row>
    <row r="27" spans="1:3" x14ac:dyDescent="0.2">
      <c r="A27" s="3">
        <v>43890</v>
      </c>
      <c r="B27">
        <v>15.49</v>
      </c>
      <c r="C27">
        <v>14.3782997131347</v>
      </c>
    </row>
    <row r="28" spans="1:3" x14ac:dyDescent="0.2">
      <c r="A28" s="3">
        <v>43921</v>
      </c>
      <c r="B28">
        <v>16.7</v>
      </c>
      <c r="C28">
        <v>15.3311004638671</v>
      </c>
    </row>
    <row r="29" spans="1:3" x14ac:dyDescent="0.2">
      <c r="A29" s="3">
        <v>43951</v>
      </c>
      <c r="B29">
        <v>19.559999999999999</v>
      </c>
      <c r="C29">
        <v>18.155000686645501</v>
      </c>
    </row>
    <row r="30" spans="1:3" x14ac:dyDescent="0.2">
      <c r="A30" s="3">
        <v>43982</v>
      </c>
      <c r="B30">
        <v>19.329999999999998</v>
      </c>
      <c r="C30">
        <v>17.897300720214801</v>
      </c>
    </row>
    <row r="31" spans="1:3" x14ac:dyDescent="0.2">
      <c r="A31" s="3">
        <v>44012</v>
      </c>
      <c r="B31">
        <v>18.21</v>
      </c>
      <c r="C31">
        <v>16.822099685668899</v>
      </c>
    </row>
    <row r="32" spans="1:3" x14ac:dyDescent="0.2">
      <c r="A32" s="3">
        <v>44043</v>
      </c>
      <c r="B32">
        <v>17.95</v>
      </c>
      <c r="C32">
        <v>16.649299621581999</v>
      </c>
    </row>
    <row r="33" spans="1:3" x14ac:dyDescent="0.2">
      <c r="A33" s="3">
        <v>44074</v>
      </c>
      <c r="B33">
        <v>17.86</v>
      </c>
      <c r="C33">
        <v>16.810600280761701</v>
      </c>
    </row>
    <row r="34" spans="1:3" x14ac:dyDescent="0.2">
      <c r="A34" s="3">
        <v>44104</v>
      </c>
      <c r="B34">
        <v>17.59</v>
      </c>
      <c r="C34">
        <v>16.4582004547119</v>
      </c>
    </row>
    <row r="35" spans="1:3" x14ac:dyDescent="0.2">
      <c r="A35" s="3">
        <v>44135</v>
      </c>
      <c r="B35">
        <v>17.93</v>
      </c>
      <c r="C35">
        <v>16.3633003234863</v>
      </c>
    </row>
    <row r="36" spans="1:3" x14ac:dyDescent="0.2">
      <c r="A36" s="3">
        <v>44165</v>
      </c>
      <c r="B36">
        <v>18.03</v>
      </c>
      <c r="C36">
        <v>16.4039001464843</v>
      </c>
    </row>
    <row r="37" spans="1:3" x14ac:dyDescent="0.2">
      <c r="A37" s="3">
        <v>44196</v>
      </c>
      <c r="B37">
        <v>18.89</v>
      </c>
      <c r="C37">
        <v>17.081100463867099</v>
      </c>
    </row>
    <row r="38" spans="1:3" x14ac:dyDescent="0.2">
      <c r="A38" s="3">
        <v>44227</v>
      </c>
      <c r="B38">
        <v>19.02</v>
      </c>
      <c r="C38">
        <v>17.184999465942301</v>
      </c>
    </row>
    <row r="39" spans="1:3" x14ac:dyDescent="0.2">
      <c r="A39" s="3">
        <v>44255</v>
      </c>
      <c r="B39">
        <v>18.61</v>
      </c>
      <c r="C39">
        <v>16.9918003082275</v>
      </c>
    </row>
    <row r="40" spans="1:3" x14ac:dyDescent="0.2">
      <c r="A40" s="3">
        <v>44286</v>
      </c>
      <c r="B40">
        <v>18.63</v>
      </c>
      <c r="C40">
        <v>17.098100662231399</v>
      </c>
    </row>
    <row r="41" spans="1:3" x14ac:dyDescent="0.2">
      <c r="A41" s="3">
        <v>44316</v>
      </c>
      <c r="B41">
        <v>18.920000000000002</v>
      </c>
      <c r="C41">
        <v>17.143600463867099</v>
      </c>
    </row>
    <row r="42" spans="1:3" x14ac:dyDescent="0.2">
      <c r="A42" s="3">
        <v>44347</v>
      </c>
      <c r="B42">
        <v>19.09</v>
      </c>
      <c r="C42">
        <v>17.227899551391602</v>
      </c>
    </row>
    <row r="43" spans="1:3" x14ac:dyDescent="0.2">
      <c r="A43" s="3">
        <v>44377</v>
      </c>
      <c r="B43">
        <v>19.100000000000001</v>
      </c>
      <c r="C43">
        <v>17.104299545288001</v>
      </c>
    </row>
    <row r="44" spans="1:3" x14ac:dyDescent="0.2">
      <c r="A44" s="3">
        <v>44408</v>
      </c>
      <c r="B44">
        <v>19.010000000000002</v>
      </c>
      <c r="C44">
        <v>17.209100723266602</v>
      </c>
    </row>
    <row r="45" spans="1:3" x14ac:dyDescent="0.2">
      <c r="A45" s="3">
        <v>44439</v>
      </c>
      <c r="B45">
        <v>18.87</v>
      </c>
      <c r="C45">
        <v>17.1706008911132</v>
      </c>
    </row>
    <row r="46" spans="1:3" x14ac:dyDescent="0.2">
      <c r="A46" s="3">
        <v>44469</v>
      </c>
      <c r="B46">
        <v>18.53</v>
      </c>
      <c r="C46">
        <v>17.224000930786101</v>
      </c>
    </row>
    <row r="47" spans="1:3" x14ac:dyDescent="0.2">
      <c r="A47" s="3">
        <v>44500</v>
      </c>
      <c r="B47">
        <v>18.75</v>
      </c>
      <c r="C47">
        <v>17.439699172973601</v>
      </c>
    </row>
    <row r="48" spans="1:3" x14ac:dyDescent="0.2">
      <c r="A48" s="3">
        <v>44530</v>
      </c>
      <c r="B48">
        <v>18.61</v>
      </c>
      <c r="C48">
        <v>17.4771003723144</v>
      </c>
    </row>
    <row r="49" spans="1:3" x14ac:dyDescent="0.2">
      <c r="A49" s="3">
        <v>44561</v>
      </c>
      <c r="B49">
        <v>19.64</v>
      </c>
      <c r="C49">
        <v>18.185100555419901</v>
      </c>
    </row>
    <row r="50" spans="1:3" x14ac:dyDescent="0.2">
      <c r="A50" s="3">
        <v>44592</v>
      </c>
      <c r="B50">
        <v>19.5</v>
      </c>
      <c r="C50">
        <v>18.034599304199201</v>
      </c>
    </row>
    <row r="51" spans="1:3" x14ac:dyDescent="0.2">
      <c r="A51" s="3">
        <v>44620</v>
      </c>
      <c r="B51">
        <v>19.170000000000002</v>
      </c>
      <c r="C51">
        <v>17.8997993469238</v>
      </c>
    </row>
    <row r="52" spans="1:3" x14ac:dyDescent="0.2">
      <c r="A52" s="3">
        <v>44651</v>
      </c>
      <c r="B52">
        <v>19.29</v>
      </c>
      <c r="C52">
        <v>17.977199554443299</v>
      </c>
    </row>
    <row r="53" spans="1:3" x14ac:dyDescent="0.2">
      <c r="A53" s="3">
        <v>44681</v>
      </c>
      <c r="B53">
        <v>19.91</v>
      </c>
      <c r="C53">
        <v>18.063499450683501</v>
      </c>
    </row>
    <row r="54" spans="1:3" x14ac:dyDescent="0.2">
      <c r="A54" s="3">
        <v>44712</v>
      </c>
      <c r="B54">
        <v>20.149999999999999</v>
      </c>
      <c r="C54">
        <v>18.607500076293899</v>
      </c>
    </row>
    <row r="55" spans="1:3" x14ac:dyDescent="0.2">
      <c r="A55" s="3">
        <v>44742</v>
      </c>
      <c r="B55">
        <v>19.97</v>
      </c>
      <c r="C55">
        <v>18.732400894165</v>
      </c>
    </row>
    <row r="56" spans="1:3" x14ac:dyDescent="0.2">
      <c r="A56" s="3">
        <v>44773</v>
      </c>
      <c r="B56">
        <v>19.989999999999998</v>
      </c>
      <c r="C56">
        <v>18.9734992980957</v>
      </c>
    </row>
    <row r="57" spans="1:3" x14ac:dyDescent="0.2">
      <c r="A57" s="3">
        <v>44804</v>
      </c>
      <c r="B57">
        <v>20.12</v>
      </c>
      <c r="C57">
        <v>18.632499694824201</v>
      </c>
    </row>
    <row r="58" spans="1:3" x14ac:dyDescent="0.2">
      <c r="A58" s="3">
        <v>44834</v>
      </c>
      <c r="B58">
        <v>20.2</v>
      </c>
      <c r="C58">
        <v>18.7381992340087</v>
      </c>
    </row>
    <row r="59" spans="1:3" x14ac:dyDescent="0.2">
      <c r="A59" s="3">
        <v>44865</v>
      </c>
      <c r="B59">
        <v>20.23</v>
      </c>
      <c r="C59">
        <v>18.7436008453369</v>
      </c>
    </row>
    <row r="60" spans="1:3" x14ac:dyDescent="0.2">
      <c r="A60" s="3">
        <v>44895</v>
      </c>
      <c r="B60">
        <v>20.37</v>
      </c>
      <c r="C60">
        <v>19.152000427246001</v>
      </c>
    </row>
    <row r="61" spans="1:3" x14ac:dyDescent="0.2">
      <c r="A61" s="3">
        <v>44926</v>
      </c>
      <c r="B61">
        <v>21.05</v>
      </c>
      <c r="C61">
        <v>19.580299377441399</v>
      </c>
    </row>
    <row r="62" spans="1:3" x14ac:dyDescent="0.2">
      <c r="A62" s="3">
        <v>44957</v>
      </c>
      <c r="B62">
        <v>20.43</v>
      </c>
      <c r="C62">
        <v>19.288000106811499</v>
      </c>
    </row>
    <row r="63" spans="1:3" x14ac:dyDescent="0.2">
      <c r="A63" s="3">
        <v>44985</v>
      </c>
      <c r="B63">
        <v>20.28</v>
      </c>
      <c r="C63">
        <v>19.235000610351499</v>
      </c>
    </row>
    <row r="64" spans="1:3" x14ac:dyDescent="0.2">
      <c r="A64" s="3">
        <v>45016</v>
      </c>
      <c r="B64">
        <v>20.43</v>
      </c>
      <c r="C64">
        <v>19.409400939941399</v>
      </c>
    </row>
    <row r="65" spans="1:3" x14ac:dyDescent="0.2">
      <c r="A65" s="3">
        <v>45046</v>
      </c>
      <c r="B65">
        <v>20.399999999999999</v>
      </c>
      <c r="C65">
        <v>19.5506992340087</v>
      </c>
    </row>
    <row r="66" spans="1:3" x14ac:dyDescent="0.2">
      <c r="A66" s="3">
        <v>45077</v>
      </c>
      <c r="B66">
        <v>20.53</v>
      </c>
      <c r="C66">
        <v>19.4811992645263</v>
      </c>
    </row>
    <row r="67" spans="1:3" x14ac:dyDescent="0.2">
      <c r="A67" s="3">
        <v>45107</v>
      </c>
      <c r="B67">
        <v>20.5</v>
      </c>
      <c r="C67">
        <v>19.6811008453369</v>
      </c>
    </row>
    <row r="68" spans="1:3" x14ac:dyDescent="0.2">
      <c r="A68" s="3">
        <v>45138</v>
      </c>
      <c r="B68">
        <v>20.420000000000002</v>
      </c>
      <c r="C68">
        <v>19.730300903320298</v>
      </c>
    </row>
    <row r="69" spans="1:3" x14ac:dyDescent="0.2">
      <c r="A69" s="3">
        <v>45169</v>
      </c>
      <c r="B69">
        <v>20.170000000000002</v>
      </c>
      <c r="C69">
        <v>19.3943996429443</v>
      </c>
    </row>
    <row r="70" spans="1:3" x14ac:dyDescent="0.2">
      <c r="A70" s="3">
        <v>45199</v>
      </c>
      <c r="B70">
        <v>20.239999999999998</v>
      </c>
      <c r="C70">
        <v>19.419500350952099</v>
      </c>
    </row>
    <row r="71" spans="1:3" x14ac:dyDescent="0.2">
      <c r="A71" s="3">
        <v>45230</v>
      </c>
      <c r="B71">
        <v>20.350000000000001</v>
      </c>
      <c r="C71">
        <v>19.470500946044901</v>
      </c>
    </row>
    <row r="72" spans="1:3" x14ac:dyDescent="0.2">
      <c r="A72" s="3">
        <v>45260</v>
      </c>
      <c r="B72">
        <v>21.07</v>
      </c>
      <c r="C72">
        <v>19.676799774169901</v>
      </c>
    </row>
    <row r="73" spans="1:3" x14ac:dyDescent="0.2">
      <c r="A73" s="3">
        <v>45291</v>
      </c>
      <c r="B73">
        <v>21.66</v>
      </c>
      <c r="C73">
        <v>20.1126995086669</v>
      </c>
    </row>
    <row r="74" spans="1:3" x14ac:dyDescent="0.2">
      <c r="A74" s="3">
        <v>45322</v>
      </c>
      <c r="B74">
        <v>20.94</v>
      </c>
      <c r="C74">
        <v>19.6480998992919</v>
      </c>
    </row>
    <row r="75" spans="1:3" x14ac:dyDescent="0.2">
      <c r="A75" s="3">
        <v>45351</v>
      </c>
      <c r="B75">
        <v>20.5</v>
      </c>
      <c r="C75">
        <v>19.757600784301701</v>
      </c>
    </row>
    <row r="76" spans="1:3" x14ac:dyDescent="0.2">
      <c r="A76" s="3">
        <v>45382</v>
      </c>
      <c r="B76">
        <v>20.87</v>
      </c>
      <c r="C76">
        <v>20.0930995941162</v>
      </c>
    </row>
    <row r="77" spans="1:3" x14ac:dyDescent="0.2">
      <c r="A77" s="3">
        <v>45412</v>
      </c>
      <c r="B77">
        <v>20.74</v>
      </c>
      <c r="C77">
        <v>19.861700057983398</v>
      </c>
    </row>
    <row r="78" spans="1:3" x14ac:dyDescent="0.2">
      <c r="A78" s="3">
        <v>45443</v>
      </c>
      <c r="B78">
        <v>21.04</v>
      </c>
      <c r="C78">
        <v>20.1054992675781</v>
      </c>
    </row>
    <row r="79" spans="1:3" x14ac:dyDescent="0.2">
      <c r="A79" s="3">
        <v>45473</v>
      </c>
      <c r="B79">
        <v>20.99</v>
      </c>
      <c r="C79">
        <v>20.101200103759702</v>
      </c>
    </row>
    <row r="80" spans="1:3" x14ac:dyDescent="0.2">
      <c r="A80" s="3">
        <v>45504</v>
      </c>
      <c r="B80">
        <v>20.83</v>
      </c>
      <c r="C80">
        <v>20.116600036621001</v>
      </c>
    </row>
    <row r="81" spans="1:3" x14ac:dyDescent="0.2">
      <c r="A81" s="3">
        <v>45535</v>
      </c>
      <c r="B81">
        <v>20.68</v>
      </c>
      <c r="C81">
        <v>19.8962001800537</v>
      </c>
    </row>
    <row r="82" spans="1:3" x14ac:dyDescent="0.2">
      <c r="A82" s="3">
        <v>45565</v>
      </c>
      <c r="B82">
        <v>20.77</v>
      </c>
      <c r="C82">
        <v>19.802099227905199</v>
      </c>
    </row>
    <row r="83" spans="1:3" x14ac:dyDescent="0.2">
      <c r="A83" s="3">
        <v>45596</v>
      </c>
      <c r="B83">
        <v>20.78</v>
      </c>
      <c r="C83">
        <v>19.8038005828857</v>
      </c>
    </row>
    <row r="84" spans="1:3" x14ac:dyDescent="0.2">
      <c r="A84" s="3">
        <v>45626</v>
      </c>
      <c r="B84">
        <v>21.22</v>
      </c>
      <c r="C84">
        <v>20.035100936889599</v>
      </c>
    </row>
    <row r="85" spans="1:3" x14ac:dyDescent="0.2">
      <c r="A85" s="3">
        <v>45657</v>
      </c>
      <c r="B85">
        <v>21.87</v>
      </c>
      <c r="C85">
        <v>20.473400115966701</v>
      </c>
    </row>
    <row r="86" spans="1:3" x14ac:dyDescent="0.2">
      <c r="A86" s="3">
        <v>45688</v>
      </c>
      <c r="B86">
        <v>21.44</v>
      </c>
      <c r="C86">
        <v>20.292299270629801</v>
      </c>
    </row>
    <row r="87" spans="1:3" x14ac:dyDescent="0.2">
      <c r="A87" s="3">
        <v>45716</v>
      </c>
      <c r="B87">
        <v>21.09</v>
      </c>
      <c r="C87">
        <v>20.209600448608398</v>
      </c>
    </row>
    <row r="88" spans="1:3" x14ac:dyDescent="0.2">
      <c r="A88" s="3">
        <v>45747</v>
      </c>
      <c r="B88">
        <v>21.15</v>
      </c>
      <c r="C88">
        <v>20.5925998687744</v>
      </c>
    </row>
    <row r="89" spans="1:3" x14ac:dyDescent="0.2">
      <c r="A89" s="3">
        <v>45777</v>
      </c>
      <c r="B89">
        <v>20.76</v>
      </c>
      <c r="C89">
        <v>20.077400207519499</v>
      </c>
    </row>
    <row r="90" spans="1:3" x14ac:dyDescent="0.2">
      <c r="A90" s="3">
        <v>45808</v>
      </c>
      <c r="B90">
        <v>21.19</v>
      </c>
      <c r="C90">
        <v>20.5193996429443</v>
      </c>
    </row>
    <row r="91" spans="1:3" x14ac:dyDescent="0.2">
      <c r="A91" s="3">
        <v>45838</v>
      </c>
      <c r="B91">
        <v>21.2</v>
      </c>
      <c r="C91">
        <v>20.625099182128899</v>
      </c>
    </row>
    <row r="92" spans="1:3" x14ac:dyDescent="0.2">
      <c r="A92" s="3">
        <v>45869</v>
      </c>
      <c r="B92">
        <v>20.9</v>
      </c>
      <c r="C92">
        <v>20.3661994934082</v>
      </c>
    </row>
    <row r="93" spans="1:3" x14ac:dyDescent="0.2">
      <c r="A93" s="3">
        <v>45900</v>
      </c>
      <c r="B93">
        <v>20.93</v>
      </c>
      <c r="C93">
        <v>20.386499404907202</v>
      </c>
    </row>
    <row r="94" spans="1:3" x14ac:dyDescent="0.2">
      <c r="A94" s="3">
        <v>45930</v>
      </c>
      <c r="B94">
        <v>21</v>
      </c>
      <c r="C94">
        <v>20.131700515746999</v>
      </c>
    </row>
    <row r="95" spans="1:3" x14ac:dyDescent="0.2">
      <c r="A95" s="3">
        <v>45961</v>
      </c>
      <c r="B95">
        <v>20.94</v>
      </c>
      <c r="C95">
        <v>20.1266994476318</v>
      </c>
    </row>
    <row r="96" spans="1:3" x14ac:dyDescent="0.2">
      <c r="A96" s="3">
        <v>45991</v>
      </c>
      <c r="B96">
        <v>21.32</v>
      </c>
      <c r="C96">
        <v>20.8607997894287</v>
      </c>
    </row>
    <row r="97" spans="1:3" x14ac:dyDescent="0.2">
      <c r="A97" s="3">
        <v>46022</v>
      </c>
      <c r="B97">
        <v>21.63</v>
      </c>
      <c r="C97">
        <v>21.288200378417901</v>
      </c>
    </row>
    <row r="98" spans="1:3" x14ac:dyDescent="0.2">
      <c r="A98" s="3">
        <v>46053</v>
      </c>
      <c r="B98">
        <v>21.11</v>
      </c>
      <c r="C98">
        <v>20.7092990875244</v>
      </c>
    </row>
    <row r="99" spans="1:3" x14ac:dyDescent="0.2">
      <c r="A99" s="3">
        <v>46081</v>
      </c>
      <c r="B99">
        <v>20.85</v>
      </c>
      <c r="C99">
        <v>20.552200317382798</v>
      </c>
    </row>
    <row r="100" spans="1:3" x14ac:dyDescent="0.2">
      <c r="A100" s="3">
        <v>46112</v>
      </c>
      <c r="B100">
        <v>21.02</v>
      </c>
      <c r="C100">
        <v>20.439800262451101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B092-C6BB-8C44-A98A-0EC7114D84ED}">
  <dimension ref="A1:B10"/>
  <sheetViews>
    <sheetView workbookViewId="0">
      <selection activeCell="B2" sqref="B2:B10"/>
    </sheetView>
  </sheetViews>
  <sheetFormatPr baseColWidth="10" defaultRowHeight="15" x14ac:dyDescent="0.2"/>
  <sheetData>
    <row r="1" spans="1:2" x14ac:dyDescent="0.2">
      <c r="A1" s="6" t="s">
        <v>7</v>
      </c>
      <c r="B1" s="6" t="s">
        <v>8</v>
      </c>
    </row>
    <row r="2" spans="1:2" x14ac:dyDescent="0.2">
      <c r="A2" s="7">
        <v>43101</v>
      </c>
      <c r="B2">
        <v>14.07</v>
      </c>
    </row>
    <row r="3" spans="1:2" x14ac:dyDescent="0.2">
      <c r="A3" s="7">
        <v>43466</v>
      </c>
      <c r="B3">
        <v>14.96</v>
      </c>
    </row>
    <row r="4" spans="1:2" x14ac:dyDescent="0.2">
      <c r="A4" s="7">
        <v>43831</v>
      </c>
      <c r="B4">
        <v>17.75</v>
      </c>
    </row>
    <row r="5" spans="1:2" x14ac:dyDescent="0.2">
      <c r="A5" s="7">
        <v>44197</v>
      </c>
      <c r="B5">
        <v>18.899999999999999</v>
      </c>
    </row>
    <row r="6" spans="1:2" x14ac:dyDescent="0.2">
      <c r="A6" s="7">
        <v>44562</v>
      </c>
      <c r="B6">
        <v>20</v>
      </c>
    </row>
    <row r="7" spans="1:2" x14ac:dyDescent="0.2">
      <c r="A7" s="7">
        <v>44927</v>
      </c>
      <c r="B7">
        <v>20.54</v>
      </c>
    </row>
    <row r="8" spans="1:2" x14ac:dyDescent="0.2">
      <c r="A8" s="7">
        <v>45292</v>
      </c>
      <c r="B8">
        <v>20.94</v>
      </c>
    </row>
    <row r="9" spans="1:2" x14ac:dyDescent="0.2">
      <c r="A9" s="7">
        <v>45658</v>
      </c>
      <c r="B9">
        <v>21.13</v>
      </c>
    </row>
    <row r="10" spans="1:2" x14ac:dyDescent="0.2">
      <c r="A10" s="7">
        <v>46023</v>
      </c>
      <c r="B10">
        <v>20.99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A30E-B388-4A46-A593-0EF885B66F6C}">
  <dimension ref="A1:D11"/>
  <sheetViews>
    <sheetView tabSelected="1" workbookViewId="0">
      <selection sqref="A1:D11"/>
    </sheetView>
  </sheetViews>
  <sheetFormatPr baseColWidth="10" defaultRowHeight="15" x14ac:dyDescent="0.2"/>
  <sheetData>
    <row r="1" spans="1:4" x14ac:dyDescent="0.2">
      <c r="A1" t="s">
        <v>9</v>
      </c>
      <c r="B1" t="s">
        <v>10</v>
      </c>
      <c r="C1" t="s">
        <v>11</v>
      </c>
      <c r="D1" t="s">
        <v>12</v>
      </c>
    </row>
    <row r="2" spans="1:4" x14ac:dyDescent="0.2">
      <c r="A2" s="7">
        <v>42370</v>
      </c>
      <c r="B2">
        <v>262.69499999999999</v>
      </c>
      <c r="C2">
        <v>39700</v>
      </c>
      <c r="D2">
        <v>75380</v>
      </c>
    </row>
    <row r="3" spans="1:4" x14ac:dyDescent="0.2">
      <c r="A3" s="7">
        <v>42736</v>
      </c>
      <c r="B3">
        <v>268.82600000000002</v>
      </c>
      <c r="C3">
        <v>40100</v>
      </c>
      <c r="D3">
        <v>76710</v>
      </c>
    </row>
    <row r="4" spans="1:4" x14ac:dyDescent="0.2">
      <c r="A4" s="7">
        <v>43101</v>
      </c>
      <c r="B4">
        <v>275.89299999999997</v>
      </c>
      <c r="C4">
        <v>41460</v>
      </c>
      <c r="D4">
        <v>77700</v>
      </c>
    </row>
    <row r="5" spans="1:4" x14ac:dyDescent="0.2">
      <c r="A5" s="7">
        <v>43466</v>
      </c>
      <c r="B5">
        <v>284.41000000000003</v>
      </c>
      <c r="C5">
        <v>43600</v>
      </c>
      <c r="D5">
        <v>83260</v>
      </c>
    </row>
    <row r="6" spans="1:4" x14ac:dyDescent="0.2">
      <c r="A6" s="7">
        <v>43831</v>
      </c>
      <c r="B6">
        <v>293.94400000000002</v>
      </c>
      <c r="C6">
        <v>43010</v>
      </c>
      <c r="D6">
        <v>81580</v>
      </c>
    </row>
    <row r="7" spans="1:4" x14ac:dyDescent="0.2">
      <c r="A7" s="7">
        <v>44197</v>
      </c>
      <c r="B7">
        <v>307.29599999999999</v>
      </c>
      <c r="C7">
        <v>43080</v>
      </c>
      <c r="D7">
        <v>81270</v>
      </c>
    </row>
    <row r="8" spans="1:4" x14ac:dyDescent="0.2">
      <c r="A8" s="7">
        <v>44562</v>
      </c>
      <c r="B8">
        <v>330.822</v>
      </c>
      <c r="C8">
        <v>43150</v>
      </c>
      <c r="D8">
        <v>79500</v>
      </c>
    </row>
    <row r="9" spans="1:4" x14ac:dyDescent="0.2">
      <c r="A9" s="7">
        <v>44927</v>
      </c>
      <c r="B9">
        <v>354.25599999999997</v>
      </c>
      <c r="C9">
        <v>43310</v>
      </c>
      <c r="D9">
        <v>82690</v>
      </c>
    </row>
    <row r="10" spans="1:4" x14ac:dyDescent="0.2">
      <c r="A10" s="7">
        <v>45292</v>
      </c>
      <c r="B10">
        <v>368.74299999999999</v>
      </c>
      <c r="C10">
        <v>45140</v>
      </c>
      <c r="D10">
        <v>83730</v>
      </c>
    </row>
    <row r="11" spans="1:4" x14ac:dyDescent="0.2">
      <c r="A11" s="7">
        <v>45658</v>
      </c>
      <c r="B11">
        <v>382.37799999999999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Trend Analysis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irenadelm@yahoo.com</cp:lastModifiedBy>
  <dcterms:created xsi:type="dcterms:W3CDTF">2013-04-03T15:49:21Z</dcterms:created>
  <dcterms:modified xsi:type="dcterms:W3CDTF">2026-05-09T22:35:06Z</dcterms:modified>
</cp:coreProperties>
</file>